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 Salarial 3210" sheetId="1" state="visible" r:id="rId1"/>
    <sheet name="Escala por correlacion" sheetId="2" state="visible" r:id="rId2"/>
    <sheet name="Detalle Plantilla 87" sheetId="3" state="visible" r:id="rId3"/>
    <sheet name="Metodologia y fuentes" sheetId="4" state="visible" r:id="rId4"/>
    <sheet name="Trazabilidad SHA-256" sheetId="5" state="visible" r:id="rId5"/>
  </sheets>
  <definedNames>
    <definedName name="_xlnm._FilterDatabase" localSheetId="2" hidden="1">'Detalle Plantilla 87'!$A$1:$F$184</definedName>
    <definedName name="_xlnm._FilterDatabase" localSheetId="4" hidden="1">'Trazabilidad SHA-256'!$A$6:$G$12</definedName>
    <definedName name="_xlnm.Print_Titles" localSheetId="4">'Trazabilidad SHA-256'!$1:$6</definedName>
    <definedName name="_xlnm.Print_Area" localSheetId="4">'Trazabilidad SHA-256'!$A$1:$G$12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b val="1"/>
      <color rgb="001F4E79"/>
      <sz val="12"/>
    </font>
    <font>
      <color rgb="00000000"/>
      <sz val="10"/>
    </font>
    <font>
      <name val="Calibri"/>
      <b val="1"/>
      <color rgb="00FFFFFF"/>
      <sz val="15"/>
    </font>
    <font>
      <b val="1"/>
      <color rgb="001F4E79"/>
    </font>
    <font>
      <name val="Calibri"/>
      <i val="1"/>
      <color rgb="00536875"/>
      <sz val="9"/>
    </font>
    <font>
      <name val="Calibri"/>
      <b val="1"/>
      <color rgb="00FFFFFF"/>
      <sz val="9"/>
    </font>
    <font>
      <name val="Consolas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0F4"/>
      </patternFill>
    </fill>
    <fill>
      <patternFill patternType="solid">
        <fgColor rgb="00E8F5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hair">
        <color rgb="00CBD5D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2" borderId="0" pivotButton="0" quotePrefix="0" xfId="0"/>
    <xf numFmtId="0" fontId="11" fillId="9" borderId="0" pivotButton="0" quotePrefix="0" xfId="0"/>
    <xf numFmtId="0" fontId="12" fillId="0" borderId="0" applyAlignment="1" pivotButton="0" quotePrefix="0" xfId="0">
      <alignment wrapText="1"/>
    </xf>
    <xf numFmtId="0" fontId="13" fillId="4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/>
    </xf>
    <xf numFmtId="0" fontId="14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ManifiestoSHA256" displayName="ManifiestoSHA256" ref="A6:G12" headerRowCount="1">
  <autoFilter ref="A6:G12"/>
  <tableColumns count="7">
    <tableColumn id="1" name="ID"/>
    <tableColumn id="2" name="Fuente"/>
    <tableColumn id="3" name="Ruta del repositorio"/>
    <tableColumn id="4" name="Estado"/>
    <tableColumn id="5" name="SHA-256 aprobado"/>
    <tableColumn id="6" name="SHA-256 actual"/>
    <tableColumn id="7" name="Tamaño (bytes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20" customWidth="1" min="7" max="7"/>
    <col width="18" customWidth="1" min="8" max="8"/>
    <col width="34" customWidth="1" min="9" max="9"/>
  </cols>
  <sheetData>
    <row r="1" ht="26" customHeight="1">
      <c r="A1" s="1" t="inlineStr">
        <is>
          <t>NUEVA ESCALA SALARIAL — SALARIO MÍNIMO $3,210.00 (Res. 14/2026 y 15/2026, GOC-2026-O60)</t>
        </is>
      </c>
    </row>
    <row r="2">
      <c r="A2" s="2" t="inlineStr">
        <is>
          <t>Generado el 28/10/2026. La columna G se alimenta del archivo “propuesta de plantilla por la resolucion 87.xls”. Montos en pesos cubanos (CUP).</t>
        </is>
      </c>
    </row>
    <row r="3" ht="42" customHeight="1">
      <c r="A3" s="3" t="inlineStr">
        <is>
          <t>Grupo de complejidad</t>
        </is>
      </c>
      <c r="B3" s="3" t="inlineStr">
        <is>
          <t>Salario escala anterior
Res. 29/2020</t>
        </is>
      </c>
      <c r="C3" s="3" t="inlineStr">
        <is>
          <t>Factor de correlación
Res. 29/2020</t>
        </is>
      </c>
      <c r="D3" s="3" t="inlineStr">
        <is>
          <t>Nueva escala oficial
Res. 15/2026 (44 h)</t>
        </is>
      </c>
      <c r="E3" s="3" t="inlineStr">
        <is>
          <t>Diferencia
(oficial − anterior)</t>
        </is>
      </c>
      <c r="F3" s="3" t="inlineStr">
        <is>
          <t>Incremento %</t>
        </is>
      </c>
      <c r="G3" s="4" t="inlineStr">
        <is>
          <t>Salario propuesto
Plantilla Decreto 87 (.xls)</t>
        </is>
      </c>
      <c r="H3" s="3" t="inlineStr">
        <is>
          <t>Diferencia
(plantilla − oficial)</t>
        </is>
      </c>
      <c r="I3" s="3" t="inlineStr">
        <is>
          <t>Observaciones</t>
        </is>
      </c>
    </row>
    <row r="4">
      <c r="A4" s="5" t="inlineStr">
        <is>
          <t>I</t>
        </is>
      </c>
      <c r="B4" s="6" t="n">
        <v>2100</v>
      </c>
      <c r="C4" s="7" t="inlineStr">
        <is>
          <t>—</t>
        </is>
      </c>
      <c r="D4" s="8" t="n">
        <v>3210</v>
      </c>
      <c r="E4" s="6" t="n">
        <v>1110</v>
      </c>
      <c r="F4" s="9" t="n">
        <v>0.5285714285714286</v>
      </c>
      <c r="G4" s="10" t="inlineStr">
        <is>
          <t>—</t>
        </is>
      </c>
      <c r="H4" s="10" t="inlineStr">
        <is>
          <t>—</t>
        </is>
      </c>
      <c r="I4" s="11" t="inlineStr">
        <is>
          <t>Sin propuesta en la plantilla del Decreto 87</t>
        </is>
      </c>
    </row>
    <row r="5">
      <c r="A5" s="5" t="inlineStr">
        <is>
          <t>II</t>
        </is>
      </c>
      <c r="B5" s="12" t="n">
        <v>2200</v>
      </c>
      <c r="C5" s="13" t="n">
        <v>1.047619047619048</v>
      </c>
      <c r="D5" s="14" t="n">
        <v>3365</v>
      </c>
      <c r="E5" s="12" t="n">
        <v>1165</v>
      </c>
      <c r="F5" s="15" t="n">
        <v>0.5295454545454545</v>
      </c>
      <c r="G5" s="10" t="inlineStr">
        <is>
          <t>—</t>
        </is>
      </c>
      <c r="H5" s="10" t="inlineStr">
        <is>
          <t>—</t>
        </is>
      </c>
      <c r="I5" s="2" t="inlineStr">
        <is>
          <t>Sin propuesta en la plantilla del Decreto 87</t>
        </is>
      </c>
    </row>
    <row r="6">
      <c r="A6" s="5" t="inlineStr">
        <is>
          <t>III</t>
        </is>
      </c>
      <c r="B6" s="6" t="n">
        <v>2300</v>
      </c>
      <c r="C6" s="16" t="n">
        <v>1.045454545454545</v>
      </c>
      <c r="D6" s="8" t="n">
        <v>3515</v>
      </c>
      <c r="E6" s="6" t="n">
        <v>1215</v>
      </c>
      <c r="F6" s="9" t="n">
        <v>0.5282608695652173</v>
      </c>
      <c r="G6" s="10" t="inlineStr">
        <is>
          <t>—</t>
        </is>
      </c>
      <c r="H6" s="10" t="inlineStr">
        <is>
          <t>—</t>
        </is>
      </c>
      <c r="I6" s="11" t="inlineStr">
        <is>
          <t>Sin propuesta en la plantilla del Decreto 87</t>
        </is>
      </c>
    </row>
    <row r="7">
      <c r="A7" s="5" t="inlineStr">
        <is>
          <t>IV</t>
        </is>
      </c>
      <c r="B7" s="12" t="n">
        <v>2420</v>
      </c>
      <c r="C7" s="13" t="n">
        <v>1.052173913043478</v>
      </c>
      <c r="D7" s="14" t="n">
        <v>3700</v>
      </c>
      <c r="E7" s="12" t="n">
        <v>1280</v>
      </c>
      <c r="F7" s="15" t="n">
        <v>0.5289256198347108</v>
      </c>
      <c r="G7" s="17" t="n">
        <v>3487</v>
      </c>
      <c r="H7" s="18" t="n">
        <v>-213</v>
      </c>
      <c r="I7" s="2" t="inlineStr"/>
    </row>
    <row r="8">
      <c r="A8" s="5" t="inlineStr">
        <is>
          <t>V</t>
        </is>
      </c>
      <c r="B8" s="6" t="n">
        <v>2540</v>
      </c>
      <c r="C8" s="16" t="n">
        <v>1.049586776859504</v>
      </c>
      <c r="D8" s="8" t="n">
        <v>3885</v>
      </c>
      <c r="E8" s="6" t="n">
        <v>1345</v>
      </c>
      <c r="F8" s="9" t="n">
        <v>0.5295275590551181</v>
      </c>
      <c r="G8" s="17" t="n">
        <v>3696</v>
      </c>
      <c r="H8" s="18" t="n">
        <v>-189</v>
      </c>
      <c r="I8" s="11" t="inlineStr"/>
    </row>
    <row r="9">
      <c r="A9" s="5" t="inlineStr">
        <is>
          <t>VI</t>
        </is>
      </c>
      <c r="B9" s="12" t="n">
        <v>2660</v>
      </c>
      <c r="C9" s="13" t="n">
        <v>1.047244094488189</v>
      </c>
      <c r="D9" s="14" t="n">
        <v>4065</v>
      </c>
      <c r="E9" s="12" t="n">
        <v>1405</v>
      </c>
      <c r="F9" s="15" t="n">
        <v>0.5281954887218046</v>
      </c>
      <c r="G9" s="17" t="n">
        <v>3918</v>
      </c>
      <c r="H9" s="18" t="n">
        <v>-147</v>
      </c>
      <c r="I9" s="2" t="inlineStr"/>
    </row>
    <row r="10">
      <c r="A10" s="5" t="inlineStr">
        <is>
          <t>VII</t>
        </is>
      </c>
      <c r="B10" s="6" t="n">
        <v>2810</v>
      </c>
      <c r="C10" s="16" t="n">
        <v>1.056390977443609</v>
      </c>
      <c r="D10" s="8" t="n">
        <v>4295</v>
      </c>
      <c r="E10" s="6" t="n">
        <v>1485</v>
      </c>
      <c r="F10" s="9" t="n">
        <v>0.5284697508896797</v>
      </c>
      <c r="G10" s="17" t="n">
        <v>4153</v>
      </c>
      <c r="H10" s="18" t="n">
        <v>-142</v>
      </c>
      <c r="I10" s="11" t="inlineStr"/>
    </row>
    <row r="11">
      <c r="A11" s="5" t="inlineStr">
        <is>
          <t>VIII</t>
        </is>
      </c>
      <c r="B11" s="12" t="n">
        <v>2960</v>
      </c>
      <c r="C11" s="13" t="n">
        <v>1.053380782918149</v>
      </c>
      <c r="D11" s="14" t="n">
        <v>4525</v>
      </c>
      <c r="E11" s="12" t="n">
        <v>1565</v>
      </c>
      <c r="F11" s="15" t="n">
        <v>0.5287162162162162</v>
      </c>
      <c r="G11" s="17" t="n">
        <v>4402</v>
      </c>
      <c r="H11" s="18" t="n">
        <v>-123</v>
      </c>
      <c r="I11" s="2" t="inlineStr"/>
    </row>
    <row r="12">
      <c r="A12" s="5" t="inlineStr">
        <is>
          <t>IX</t>
        </is>
      </c>
      <c r="B12" s="6" t="n">
        <v>3110</v>
      </c>
      <c r="C12" s="16" t="n">
        <v>1.050675675675676</v>
      </c>
      <c r="D12" s="8" t="n">
        <v>4755</v>
      </c>
      <c r="E12" s="6" t="n">
        <v>1645</v>
      </c>
      <c r="F12" s="9" t="n">
        <v>0.5289389067524116</v>
      </c>
      <c r="G12" s="17" t="n">
        <v>4666</v>
      </c>
      <c r="H12" s="18" t="n">
        <v>-89</v>
      </c>
      <c r="I12" s="11" t="inlineStr"/>
    </row>
    <row r="13">
      <c r="A13" s="5" t="inlineStr">
        <is>
          <t>X</t>
        </is>
      </c>
      <c r="B13" s="12" t="n">
        <v>3260</v>
      </c>
      <c r="C13" s="13" t="n">
        <v>1.048231511254019</v>
      </c>
      <c r="D13" s="14" t="n">
        <v>4985</v>
      </c>
      <c r="E13" s="12" t="n">
        <v>1725</v>
      </c>
      <c r="F13" s="15" t="n">
        <v>0.5291411042944786</v>
      </c>
      <c r="G13" s="17" t="n">
        <v>4993</v>
      </c>
      <c r="H13" s="18" t="n">
        <v>8</v>
      </c>
      <c r="I13" s="2" t="inlineStr"/>
    </row>
    <row r="14">
      <c r="A14" s="5" t="inlineStr">
        <is>
          <t>XI</t>
        </is>
      </c>
      <c r="B14" s="6" t="n">
        <v>3410</v>
      </c>
      <c r="C14" s="16" t="n">
        <v>1.04601226993865</v>
      </c>
      <c r="D14" s="8" t="n">
        <v>5210</v>
      </c>
      <c r="E14" s="6" t="n">
        <v>1800</v>
      </c>
      <c r="F14" s="9" t="n">
        <v>0.5278592375366569</v>
      </c>
      <c r="G14" s="17" t="n">
        <v>5343</v>
      </c>
      <c r="H14" s="18" t="n">
        <v>133</v>
      </c>
      <c r="I14" s="11" t="inlineStr"/>
    </row>
    <row r="15">
      <c r="A15" s="5" t="inlineStr">
        <is>
          <t>XII</t>
        </is>
      </c>
      <c r="B15" s="12" t="n">
        <v>3610</v>
      </c>
      <c r="C15" s="13" t="n">
        <v>1.058651026392962</v>
      </c>
      <c r="D15" s="14" t="n">
        <v>5520</v>
      </c>
      <c r="E15" s="12" t="n">
        <v>1910</v>
      </c>
      <c r="F15" s="15" t="n">
        <v>0.5290858725761773</v>
      </c>
      <c r="G15" s="17" t="n">
        <v>5770</v>
      </c>
      <c r="H15" s="18" t="n">
        <v>250</v>
      </c>
      <c r="I15" s="2" t="inlineStr"/>
    </row>
    <row r="16">
      <c r="A16" s="5" t="inlineStr">
        <is>
          <t>XIII</t>
        </is>
      </c>
      <c r="B16" s="6" t="n">
        <v>3810</v>
      </c>
      <c r="C16" s="16" t="n">
        <v>1.055401662049861</v>
      </c>
      <c r="D16" s="8" t="n">
        <v>5825</v>
      </c>
      <c r="E16" s="6" t="n">
        <v>2015</v>
      </c>
      <c r="F16" s="9" t="n">
        <v>0.5288713910761155</v>
      </c>
      <c r="G16" s="17" t="n">
        <v>6174</v>
      </c>
      <c r="H16" s="18" t="n">
        <v>349</v>
      </c>
      <c r="I16" s="11" t="inlineStr"/>
    </row>
    <row r="17">
      <c r="A17" s="5" t="inlineStr">
        <is>
          <t>XIV</t>
        </is>
      </c>
      <c r="B17" s="12" t="n">
        <v>4010</v>
      </c>
      <c r="C17" s="13" t="n">
        <v>1.05249343832021</v>
      </c>
      <c r="D17" s="14" t="n">
        <v>6130</v>
      </c>
      <c r="E17" s="12" t="n">
        <v>2120</v>
      </c>
      <c r="F17" s="15" t="n">
        <v>0.5286783042394015</v>
      </c>
      <c r="G17" s="17" t="n">
        <v>6668</v>
      </c>
      <c r="H17" s="18" t="n">
        <v>538</v>
      </c>
      <c r="I17" s="2" t="inlineStr"/>
    </row>
    <row r="18">
      <c r="A18" s="5" t="inlineStr">
        <is>
          <t>XV</t>
        </is>
      </c>
      <c r="B18" s="6" t="n">
        <v>4210</v>
      </c>
      <c r="C18" s="16" t="n">
        <v>1.049875311720698</v>
      </c>
      <c r="D18" s="8" t="n">
        <v>6435</v>
      </c>
      <c r="E18" s="6" t="n">
        <v>2225</v>
      </c>
      <c r="F18" s="9" t="n">
        <v>0.5285035629453682</v>
      </c>
      <c r="G18" s="17" t="n">
        <v>7201</v>
      </c>
      <c r="H18" s="18" t="n">
        <v>766</v>
      </c>
      <c r="I18" s="11" t="inlineStr"/>
    </row>
    <row r="19">
      <c r="A19" s="5" t="inlineStr">
        <is>
          <t>XVI</t>
        </is>
      </c>
      <c r="B19" s="12" t="n">
        <v>4410</v>
      </c>
      <c r="C19" s="13" t="n">
        <v>1.04750593824228</v>
      </c>
      <c r="D19" s="14" t="n">
        <v>6740</v>
      </c>
      <c r="E19" s="12" t="n">
        <v>2330</v>
      </c>
      <c r="F19" s="15" t="n">
        <v>0.5283446712018141</v>
      </c>
      <c r="G19" s="17" t="n">
        <v>7777</v>
      </c>
      <c r="H19" s="18" t="n">
        <v>1037</v>
      </c>
      <c r="I19" s="2" t="inlineStr"/>
    </row>
    <row r="20">
      <c r="A20" s="5" t="inlineStr">
        <is>
          <t>XVII</t>
        </is>
      </c>
      <c r="B20" s="6" t="n">
        <v>4610</v>
      </c>
      <c r="C20" s="16" t="n">
        <v>1.045351473922902</v>
      </c>
      <c r="D20" s="8" t="n">
        <v>7045</v>
      </c>
      <c r="E20" s="6" t="n">
        <v>2435</v>
      </c>
      <c r="F20" s="9" t="n">
        <v>0.5281995661605207</v>
      </c>
      <c r="G20" s="17" t="n">
        <v>8400</v>
      </c>
      <c r="H20" s="18" t="n">
        <v>1355</v>
      </c>
      <c r="I20" s="11" t="inlineStr"/>
    </row>
    <row r="21">
      <c r="A21" s="5" t="inlineStr">
        <is>
          <t>XVIII</t>
        </is>
      </c>
      <c r="B21" s="12" t="n">
        <v>4810</v>
      </c>
      <c r="C21" s="13" t="n">
        <v>1.043383947939262</v>
      </c>
      <c r="D21" s="14" t="n">
        <v>7350</v>
      </c>
      <c r="E21" s="12" t="n">
        <v>2540</v>
      </c>
      <c r="F21" s="15" t="n">
        <v>0.5280665280665281</v>
      </c>
      <c r="G21" s="17" t="n">
        <v>9072</v>
      </c>
      <c r="H21" s="18" t="n">
        <v>1722</v>
      </c>
      <c r="I21" s="2" t="inlineStr"/>
    </row>
    <row r="22">
      <c r="A22" s="5" t="inlineStr">
        <is>
          <t>XIX</t>
        </is>
      </c>
      <c r="B22" s="6" t="n">
        <v>5060</v>
      </c>
      <c r="C22" s="16" t="n">
        <v>1.051975051975052</v>
      </c>
      <c r="D22" s="8" t="n">
        <v>7735</v>
      </c>
      <c r="E22" s="6" t="n">
        <v>2675</v>
      </c>
      <c r="F22" s="9" t="n">
        <v>0.5286561264822134</v>
      </c>
      <c r="G22" s="10" t="inlineStr">
        <is>
          <t>—</t>
        </is>
      </c>
      <c r="H22" s="10" t="inlineStr">
        <is>
          <t>—</t>
        </is>
      </c>
      <c r="I22" s="11" t="inlineStr">
        <is>
          <t>Sin propuesta en la plantilla del Decreto 87</t>
        </is>
      </c>
    </row>
    <row r="23">
      <c r="A23" s="5" t="inlineStr">
        <is>
          <t>XX</t>
        </is>
      </c>
      <c r="B23" s="12" t="n">
        <v>5310</v>
      </c>
      <c r="C23" s="13" t="n">
        <v>1.049407114624506</v>
      </c>
      <c r="D23" s="14" t="n">
        <v>8115</v>
      </c>
      <c r="E23" s="12" t="n">
        <v>2805</v>
      </c>
      <c r="F23" s="15" t="n">
        <v>0.5282485875706214</v>
      </c>
      <c r="G23" s="10" t="inlineStr">
        <is>
          <t>—</t>
        </is>
      </c>
      <c r="H23" s="10" t="inlineStr">
        <is>
          <t>—</t>
        </is>
      </c>
      <c r="I23" s="2" t="inlineStr">
        <is>
          <t>Sin propuesta en la plantilla del Decreto 87</t>
        </is>
      </c>
    </row>
    <row r="24">
      <c r="A24" s="5" t="inlineStr">
        <is>
          <t>XXI</t>
        </is>
      </c>
      <c r="B24" s="6" t="n">
        <v>5560</v>
      </c>
      <c r="C24" s="16" t="n">
        <v>1.047080979284369</v>
      </c>
      <c r="D24" s="8" t="n">
        <v>8500</v>
      </c>
      <c r="E24" s="6" t="n">
        <v>2940</v>
      </c>
      <c r="F24" s="9" t="n">
        <v>0.5287769784172662</v>
      </c>
      <c r="G24" s="10" t="inlineStr">
        <is>
          <t>—</t>
        </is>
      </c>
      <c r="H24" s="10" t="inlineStr">
        <is>
          <t>—</t>
        </is>
      </c>
      <c r="I24" s="11" t="inlineStr">
        <is>
          <t>Sin propuesta en la plantilla del Decreto 87</t>
        </is>
      </c>
    </row>
    <row r="25">
      <c r="A25" s="5" t="inlineStr">
        <is>
          <t>XXII</t>
        </is>
      </c>
      <c r="B25" s="12" t="n">
        <v>5810</v>
      </c>
      <c r="C25" s="13" t="n">
        <v>1.044964028776978</v>
      </c>
      <c r="D25" s="14" t="n">
        <v>8880</v>
      </c>
      <c r="E25" s="12" t="n">
        <v>3070</v>
      </c>
      <c r="F25" s="15" t="n">
        <v>0.5283993115318416</v>
      </c>
      <c r="G25" s="10" t="inlineStr">
        <is>
          <t>—</t>
        </is>
      </c>
      <c r="H25" s="10" t="inlineStr">
        <is>
          <t>—</t>
        </is>
      </c>
      <c r="I25" s="2" t="inlineStr">
        <is>
          <t>Sin propuesta en la plantilla del Decreto 87</t>
        </is>
      </c>
    </row>
    <row r="26">
      <c r="A26" s="5" t="inlineStr">
        <is>
          <t>XXIII</t>
        </is>
      </c>
      <c r="B26" s="6" t="n">
        <v>6060</v>
      </c>
      <c r="C26" s="16" t="n">
        <v>1.04302925989673</v>
      </c>
      <c r="D26" s="8" t="n">
        <v>9265</v>
      </c>
      <c r="E26" s="6" t="n">
        <v>3205</v>
      </c>
      <c r="F26" s="9" t="n">
        <v>0.5288778877887789</v>
      </c>
      <c r="G26" s="10" t="inlineStr">
        <is>
          <t>—</t>
        </is>
      </c>
      <c r="H26" s="10" t="inlineStr">
        <is>
          <t>—</t>
        </is>
      </c>
      <c r="I26" s="11" t="inlineStr">
        <is>
          <t>Sin propuesta en la plantilla del Decreto 87</t>
        </is>
      </c>
    </row>
    <row r="27">
      <c r="A27" s="5" t="inlineStr">
        <is>
          <t>XXIV</t>
        </is>
      </c>
      <c r="B27" s="12" t="n">
        <v>6310</v>
      </c>
      <c r="C27" s="13" t="n">
        <v>1.041254125412541</v>
      </c>
      <c r="D27" s="14" t="n">
        <v>9645</v>
      </c>
      <c r="E27" s="12" t="n">
        <v>3335</v>
      </c>
      <c r="F27" s="15" t="n">
        <v>0.528526148969889</v>
      </c>
      <c r="G27" s="10" t="inlineStr">
        <is>
          <t>—</t>
        </is>
      </c>
      <c r="H27" s="10" t="inlineStr">
        <is>
          <t>—</t>
        </is>
      </c>
      <c r="I27" s="2" t="inlineStr">
        <is>
          <t>Sin propuesta en la plantilla del Decreto 87</t>
        </is>
      </c>
    </row>
    <row r="28">
      <c r="A28" s="5" t="inlineStr">
        <is>
          <t>XXV</t>
        </is>
      </c>
      <c r="B28" s="6" t="n">
        <v>6610</v>
      </c>
      <c r="C28" s="16" t="n">
        <v>1.047543581616482</v>
      </c>
      <c r="D28" s="8" t="n">
        <v>10105</v>
      </c>
      <c r="E28" s="6" t="n">
        <v>3495</v>
      </c>
      <c r="F28" s="9" t="n">
        <v>0.5287443267776096</v>
      </c>
      <c r="G28" s="10" t="inlineStr">
        <is>
          <t>—</t>
        </is>
      </c>
      <c r="H28" s="10" t="inlineStr">
        <is>
          <t>—</t>
        </is>
      </c>
      <c r="I28" s="11" t="inlineStr">
        <is>
          <t>Sin propuesta en la plantilla del Decreto 87</t>
        </is>
      </c>
    </row>
    <row r="29">
      <c r="A29" s="5" t="inlineStr">
        <is>
          <t>XXVI</t>
        </is>
      </c>
      <c r="B29" s="12" t="n">
        <v>6960</v>
      </c>
      <c r="C29" s="13" t="n">
        <v>1.052950075642965</v>
      </c>
      <c r="D29" s="14" t="n">
        <v>10640</v>
      </c>
      <c r="E29" s="12" t="n">
        <v>3680</v>
      </c>
      <c r="F29" s="15" t="n">
        <v>0.5287356321839081</v>
      </c>
      <c r="G29" s="10" t="inlineStr">
        <is>
          <t>—</t>
        </is>
      </c>
      <c r="H29" s="10" t="inlineStr">
        <is>
          <t>—</t>
        </is>
      </c>
      <c r="I29" s="2" t="inlineStr">
        <is>
          <t>Sin propuesta en la plantilla del Decreto 87</t>
        </is>
      </c>
    </row>
    <row r="30">
      <c r="A30" s="5" t="inlineStr">
        <is>
          <t>XXVII</t>
        </is>
      </c>
      <c r="B30" s="6" t="n">
        <v>7310</v>
      </c>
      <c r="C30" s="16" t="n">
        <v>1.050287356321839</v>
      </c>
      <c r="D30" s="8" t="n">
        <v>11175</v>
      </c>
      <c r="E30" s="6" t="n">
        <v>3865</v>
      </c>
      <c r="F30" s="9" t="n">
        <v>0.5287277701778386</v>
      </c>
      <c r="G30" s="10" t="inlineStr">
        <is>
          <t>—</t>
        </is>
      </c>
      <c r="H30" s="10" t="inlineStr">
        <is>
          <t>—</t>
        </is>
      </c>
      <c r="I30" s="11" t="inlineStr">
        <is>
          <t>Sin propuesta en la plantilla del Decreto 87</t>
        </is>
      </c>
    </row>
    <row r="31">
      <c r="A31" s="5" t="inlineStr">
        <is>
          <t>XXVIII</t>
        </is>
      </c>
      <c r="B31" s="12" t="n">
        <v>7660</v>
      </c>
      <c r="C31" s="13" t="n">
        <v>1.047879616963064</v>
      </c>
      <c r="D31" s="14" t="n">
        <v>11710</v>
      </c>
      <c r="E31" s="12" t="n">
        <v>4050</v>
      </c>
      <c r="F31" s="15" t="n">
        <v>0.5287206266318538</v>
      </c>
      <c r="G31" s="10" t="inlineStr">
        <is>
          <t>—</t>
        </is>
      </c>
      <c r="H31" s="10" t="inlineStr">
        <is>
          <t>—</t>
        </is>
      </c>
      <c r="I31" s="2" t="inlineStr">
        <is>
          <t>Sin propuesta en la plantilla del Decreto 87</t>
        </is>
      </c>
    </row>
    <row r="32">
      <c r="A32" s="5" t="inlineStr">
        <is>
          <t>XXIX</t>
        </is>
      </c>
      <c r="B32" s="6" t="n">
        <v>8010</v>
      </c>
      <c r="C32" s="16" t="n">
        <v>1.045691906005222</v>
      </c>
      <c r="D32" s="8" t="n">
        <v>12245</v>
      </c>
      <c r="E32" s="6" t="n">
        <v>4235</v>
      </c>
      <c r="F32" s="9" t="n">
        <v>0.5287141073657927</v>
      </c>
      <c r="G32" s="10" t="inlineStr">
        <is>
          <t>—</t>
        </is>
      </c>
      <c r="H32" s="10" t="inlineStr">
        <is>
          <t>—</t>
        </is>
      </c>
      <c r="I32" s="11" t="inlineStr">
        <is>
          <t>Sin propuesta en la plantilla del Decreto 87</t>
        </is>
      </c>
    </row>
    <row r="33">
      <c r="A33" s="5" t="inlineStr">
        <is>
          <t>XXX</t>
        </is>
      </c>
      <c r="B33" s="12" t="n">
        <v>8510</v>
      </c>
      <c r="C33" s="13" t="n">
        <v>1.062421972534332</v>
      </c>
      <c r="D33" s="14" t="n">
        <v>13010</v>
      </c>
      <c r="E33" s="12" t="n">
        <v>4500</v>
      </c>
      <c r="F33" s="15" t="n">
        <v>0.5287896592244419</v>
      </c>
      <c r="G33" s="10" t="inlineStr">
        <is>
          <t>—</t>
        </is>
      </c>
      <c r="H33" s="10" t="inlineStr">
        <is>
          <t>—</t>
        </is>
      </c>
      <c r="I33" s="2" t="inlineStr">
        <is>
          <t>Sin propuesta en la plantilla del Decreto 87</t>
        </is>
      </c>
    </row>
    <row r="34">
      <c r="A34" s="5" t="inlineStr">
        <is>
          <t>XXXI</t>
        </is>
      </c>
      <c r="B34" s="6" t="n">
        <v>9010</v>
      </c>
      <c r="C34" s="16" t="n">
        <v>1.058754406580493</v>
      </c>
      <c r="D34" s="8" t="n">
        <v>13770</v>
      </c>
      <c r="E34" s="6" t="n">
        <v>4760</v>
      </c>
      <c r="F34" s="9" t="n">
        <v>0.5283018867924528</v>
      </c>
      <c r="G34" s="10" t="inlineStr">
        <is>
          <t>—</t>
        </is>
      </c>
      <c r="H34" s="10" t="inlineStr">
        <is>
          <t>—</t>
        </is>
      </c>
      <c r="I34" s="11" t="inlineStr">
        <is>
          <t>Sin propuesta en la plantilla del Decreto 87</t>
        </is>
      </c>
    </row>
    <row r="35">
      <c r="A35" s="5" t="inlineStr">
        <is>
          <t>XXXII</t>
        </is>
      </c>
      <c r="B35" s="12" t="n">
        <v>9510</v>
      </c>
      <c r="C35" s="13" t="n">
        <v>1.055493895671476</v>
      </c>
      <c r="D35" s="14" t="n">
        <v>14535</v>
      </c>
      <c r="E35" s="12" t="n">
        <v>5025</v>
      </c>
      <c r="F35" s="15" t="n">
        <v>0.5283911671924291</v>
      </c>
      <c r="G35" s="10" t="inlineStr">
        <is>
          <t>—</t>
        </is>
      </c>
      <c r="H35" s="10" t="inlineStr">
        <is>
          <t>—</t>
        </is>
      </c>
      <c r="I35" s="2" t="inlineStr">
        <is>
          <t>Sin propuesta en la plantilla del Decreto 87</t>
        </is>
      </c>
    </row>
    <row r="37" ht="30" customHeight="1">
      <c r="A37" s="19" t="inlineStr">
        <is>
          <t>NOTAS: Grupo XII: valores encontrados -&gt; $5,770.00 (15 ocurrencias), $5,570.00 (1 ocurrencias). Se adopta $5,770.00 por ser el mayoritario. / Grupo XV: valores encontrados -&gt; $7,201.00 (5 ocurrencias), $7,777.00 (1 ocurrencias). Se adopta $7,201.00 por ser el mayoritario.</t>
        </is>
      </c>
    </row>
  </sheetData>
  <mergeCells count="3">
    <mergeCell ref="A1:I1"/>
    <mergeCell ref="A37:I3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6" customWidth="1" min="5" max="5"/>
  </cols>
  <sheetData>
    <row r="1">
      <c r="A1" s="20" t="inlineStr">
        <is>
          <t>ESCALA CALCULADA POR FACTORES DE CORRELACIÓN (metodología del archivo Escala 3210_OK.xlsx) — con fórmulas de Excel</t>
        </is>
      </c>
    </row>
    <row r="2" ht="32" customHeight="1">
      <c r="A2" s="3" t="inlineStr">
        <is>
          <t>Grupo de complejidad</t>
        </is>
      </c>
      <c r="B2" s="3" t="inlineStr">
        <is>
          <t>Salario Res. 29/2020</t>
        </is>
      </c>
      <c r="C2" s="3" t="inlineStr">
        <is>
          <t>Nueva escala (mínimo $3,210.00)</t>
        </is>
      </c>
      <c r="D2" s="3" t="inlineStr">
        <is>
          <t>Correlación Res. 29</t>
        </is>
      </c>
      <c r="E2" s="3" t="inlineStr">
        <is>
          <t>Diferencia</t>
        </is>
      </c>
    </row>
    <row r="3">
      <c r="A3" s="5" t="inlineStr">
        <is>
          <t>I</t>
        </is>
      </c>
      <c r="B3" s="21" t="n">
        <v>2100</v>
      </c>
      <c r="C3" s="22" t="n">
        <v>3210</v>
      </c>
      <c r="D3" s="23" t="inlineStr">
        <is>
          <t>—</t>
        </is>
      </c>
      <c r="E3" s="23" t="inlineStr">
        <is>
          <t>—</t>
        </is>
      </c>
    </row>
    <row r="4">
      <c r="A4" s="5" t="inlineStr">
        <is>
          <t>II</t>
        </is>
      </c>
      <c r="B4" s="21" t="n">
        <v>2200</v>
      </c>
      <c r="C4" s="24">
        <f>D4*C3</f>
        <v/>
      </c>
      <c r="D4" s="25">
        <f>B4/B3</f>
        <v/>
      </c>
      <c r="E4" s="21">
        <f>C4-C3</f>
        <v/>
      </c>
    </row>
    <row r="5">
      <c r="A5" s="5" t="inlineStr">
        <is>
          <t>III</t>
        </is>
      </c>
      <c r="B5" s="21" t="n">
        <v>2300</v>
      </c>
      <c r="C5" s="24">
        <f>D5*C4</f>
        <v/>
      </c>
      <c r="D5" s="25">
        <f>B5/B4</f>
        <v/>
      </c>
      <c r="E5" s="21">
        <f>C5-C4</f>
        <v/>
      </c>
    </row>
    <row r="6">
      <c r="A6" s="5" t="inlineStr">
        <is>
          <t>IV</t>
        </is>
      </c>
      <c r="B6" s="21" t="n">
        <v>2420</v>
      </c>
      <c r="C6" s="24">
        <f>D6*C5</f>
        <v/>
      </c>
      <c r="D6" s="25">
        <f>B6/B5</f>
        <v/>
      </c>
      <c r="E6" s="21">
        <f>C6-C5</f>
        <v/>
      </c>
    </row>
    <row r="7">
      <c r="A7" s="5" t="inlineStr">
        <is>
          <t>V</t>
        </is>
      </c>
      <c r="B7" s="21" t="n">
        <v>2540</v>
      </c>
      <c r="C7" s="24">
        <f>D7*C6</f>
        <v/>
      </c>
      <c r="D7" s="25">
        <f>B7/B6</f>
        <v/>
      </c>
      <c r="E7" s="21">
        <f>C7-C6</f>
        <v/>
      </c>
    </row>
    <row r="8">
      <c r="A8" s="5" t="inlineStr">
        <is>
          <t>VI</t>
        </is>
      </c>
      <c r="B8" s="21" t="n">
        <v>2660</v>
      </c>
      <c r="C8" s="24">
        <f>D8*C7</f>
        <v/>
      </c>
      <c r="D8" s="25">
        <f>B8/B7</f>
        <v/>
      </c>
      <c r="E8" s="21">
        <f>C8-C7</f>
        <v/>
      </c>
    </row>
    <row r="9">
      <c r="A9" s="5" t="inlineStr">
        <is>
          <t>VII</t>
        </is>
      </c>
      <c r="B9" s="21" t="n">
        <v>2810</v>
      </c>
      <c r="C9" s="24">
        <f>D9*C8</f>
        <v/>
      </c>
      <c r="D9" s="25">
        <f>B9/B8</f>
        <v/>
      </c>
      <c r="E9" s="21">
        <f>C9-C8</f>
        <v/>
      </c>
    </row>
    <row r="10">
      <c r="A10" s="5" t="inlineStr">
        <is>
          <t>VIII</t>
        </is>
      </c>
      <c r="B10" s="21" t="n">
        <v>2960</v>
      </c>
      <c r="C10" s="24">
        <f>D10*C9</f>
        <v/>
      </c>
      <c r="D10" s="25">
        <f>B10/B9</f>
        <v/>
      </c>
      <c r="E10" s="21">
        <f>C10-C9</f>
        <v/>
      </c>
    </row>
    <row r="11">
      <c r="A11" s="5" t="inlineStr">
        <is>
          <t>IX</t>
        </is>
      </c>
      <c r="B11" s="21" t="n">
        <v>3110</v>
      </c>
      <c r="C11" s="24">
        <f>D11*C10</f>
        <v/>
      </c>
      <c r="D11" s="25">
        <f>B11/B10</f>
        <v/>
      </c>
      <c r="E11" s="21">
        <f>C11-C10</f>
        <v/>
      </c>
    </row>
    <row r="12">
      <c r="A12" s="5" t="inlineStr">
        <is>
          <t>X</t>
        </is>
      </c>
      <c r="B12" s="21" t="n">
        <v>3260</v>
      </c>
      <c r="C12" s="24">
        <f>D12*C11</f>
        <v/>
      </c>
      <c r="D12" s="25">
        <f>B12/B11</f>
        <v/>
      </c>
      <c r="E12" s="21">
        <f>C12-C11</f>
        <v/>
      </c>
    </row>
    <row r="13">
      <c r="A13" s="5" t="inlineStr">
        <is>
          <t>XI</t>
        </is>
      </c>
      <c r="B13" s="21" t="n">
        <v>3410</v>
      </c>
      <c r="C13" s="24">
        <f>D13*C12</f>
        <v/>
      </c>
      <c r="D13" s="25">
        <f>B13/B12</f>
        <v/>
      </c>
      <c r="E13" s="21">
        <f>C13-C12</f>
        <v/>
      </c>
    </row>
    <row r="14">
      <c r="A14" s="5" t="inlineStr">
        <is>
          <t>XII</t>
        </is>
      </c>
      <c r="B14" s="21" t="n">
        <v>3610</v>
      </c>
      <c r="C14" s="24">
        <f>D14*C13</f>
        <v/>
      </c>
      <c r="D14" s="25">
        <f>B14/B13</f>
        <v/>
      </c>
      <c r="E14" s="21">
        <f>C14-C13</f>
        <v/>
      </c>
    </row>
    <row r="15">
      <c r="A15" s="5" t="inlineStr">
        <is>
          <t>XIII</t>
        </is>
      </c>
      <c r="B15" s="21" t="n">
        <v>3810</v>
      </c>
      <c r="C15" s="24">
        <f>D15*C14</f>
        <v/>
      </c>
      <c r="D15" s="25">
        <f>B15/B14</f>
        <v/>
      </c>
      <c r="E15" s="21">
        <f>C15-C14</f>
        <v/>
      </c>
    </row>
    <row r="16">
      <c r="A16" s="5" t="inlineStr">
        <is>
          <t>XIV</t>
        </is>
      </c>
      <c r="B16" s="21" t="n">
        <v>4010</v>
      </c>
      <c r="C16" s="24">
        <f>D16*C15</f>
        <v/>
      </c>
      <c r="D16" s="25">
        <f>B16/B15</f>
        <v/>
      </c>
      <c r="E16" s="21">
        <f>C16-C15</f>
        <v/>
      </c>
    </row>
    <row r="17">
      <c r="A17" s="5" t="inlineStr">
        <is>
          <t>XV</t>
        </is>
      </c>
      <c r="B17" s="21" t="n">
        <v>4210</v>
      </c>
      <c r="C17" s="24">
        <f>D17*C16</f>
        <v/>
      </c>
      <c r="D17" s="25">
        <f>B17/B16</f>
        <v/>
      </c>
      <c r="E17" s="21">
        <f>C17-C16</f>
        <v/>
      </c>
    </row>
    <row r="18">
      <c r="A18" s="5" t="inlineStr">
        <is>
          <t>XVI</t>
        </is>
      </c>
      <c r="B18" s="21" t="n">
        <v>4410</v>
      </c>
      <c r="C18" s="24">
        <f>D18*C17</f>
        <v/>
      </c>
      <c r="D18" s="25">
        <f>B18/B17</f>
        <v/>
      </c>
      <c r="E18" s="21">
        <f>C18-C17</f>
        <v/>
      </c>
    </row>
    <row r="19">
      <c r="A19" s="5" t="inlineStr">
        <is>
          <t>XVII</t>
        </is>
      </c>
      <c r="B19" s="21" t="n">
        <v>4610</v>
      </c>
      <c r="C19" s="24">
        <f>D19*C18</f>
        <v/>
      </c>
      <c r="D19" s="25">
        <f>B19/B18</f>
        <v/>
      </c>
      <c r="E19" s="21">
        <f>C19-C18</f>
        <v/>
      </c>
    </row>
    <row r="20">
      <c r="A20" s="5" t="inlineStr">
        <is>
          <t>XVIII</t>
        </is>
      </c>
      <c r="B20" s="21" t="n">
        <v>4810</v>
      </c>
      <c r="C20" s="24">
        <f>D20*C19</f>
        <v/>
      </c>
      <c r="D20" s="25">
        <f>B20/B19</f>
        <v/>
      </c>
      <c r="E20" s="21">
        <f>C20-C19</f>
        <v/>
      </c>
    </row>
    <row r="21">
      <c r="A21" s="5" t="inlineStr">
        <is>
          <t>XIX</t>
        </is>
      </c>
      <c r="B21" s="21" t="n">
        <v>5060</v>
      </c>
      <c r="C21" s="24">
        <f>D21*C20</f>
        <v/>
      </c>
      <c r="D21" s="25">
        <f>B21/B20</f>
        <v/>
      </c>
      <c r="E21" s="21">
        <f>C21-C20</f>
        <v/>
      </c>
    </row>
    <row r="22">
      <c r="A22" s="5" t="inlineStr">
        <is>
          <t>XX</t>
        </is>
      </c>
      <c r="B22" s="21" t="n">
        <v>5310</v>
      </c>
      <c r="C22" s="24">
        <f>D22*C21</f>
        <v/>
      </c>
      <c r="D22" s="25">
        <f>B22/B21</f>
        <v/>
      </c>
      <c r="E22" s="21">
        <f>C22-C21</f>
        <v/>
      </c>
    </row>
    <row r="23">
      <c r="A23" s="5" t="inlineStr">
        <is>
          <t>XXI</t>
        </is>
      </c>
      <c r="B23" s="21" t="n">
        <v>5560</v>
      </c>
      <c r="C23" s="24">
        <f>D23*C22</f>
        <v/>
      </c>
      <c r="D23" s="25">
        <f>B23/B22</f>
        <v/>
      </c>
      <c r="E23" s="21">
        <f>C23-C22</f>
        <v/>
      </c>
    </row>
    <row r="24">
      <c r="A24" s="5" t="inlineStr">
        <is>
          <t>XXII</t>
        </is>
      </c>
      <c r="B24" s="21" t="n">
        <v>5810</v>
      </c>
      <c r="C24" s="24">
        <f>D24*C23</f>
        <v/>
      </c>
      <c r="D24" s="25">
        <f>B24/B23</f>
        <v/>
      </c>
      <c r="E24" s="21">
        <f>C24-C23</f>
        <v/>
      </c>
    </row>
    <row r="25">
      <c r="A25" s="5" t="inlineStr">
        <is>
          <t>XXIII</t>
        </is>
      </c>
      <c r="B25" s="21" t="n">
        <v>6060</v>
      </c>
      <c r="C25" s="24">
        <f>D25*C24</f>
        <v/>
      </c>
      <c r="D25" s="25">
        <f>B25/B24</f>
        <v/>
      </c>
      <c r="E25" s="21">
        <f>C25-C24</f>
        <v/>
      </c>
    </row>
    <row r="26">
      <c r="A26" s="5" t="inlineStr">
        <is>
          <t>XXIV</t>
        </is>
      </c>
      <c r="B26" s="21" t="n">
        <v>6310</v>
      </c>
      <c r="C26" s="24">
        <f>D26*C25</f>
        <v/>
      </c>
      <c r="D26" s="25">
        <f>B26/B25</f>
        <v/>
      </c>
      <c r="E26" s="21">
        <f>C26-C25</f>
        <v/>
      </c>
    </row>
    <row r="27">
      <c r="A27" s="5" t="inlineStr">
        <is>
          <t>XXV</t>
        </is>
      </c>
      <c r="B27" s="21" t="n">
        <v>6610</v>
      </c>
      <c r="C27" s="24">
        <f>D27*C26</f>
        <v/>
      </c>
      <c r="D27" s="25">
        <f>B27/B26</f>
        <v/>
      </c>
      <c r="E27" s="21">
        <f>C27-C26</f>
        <v/>
      </c>
    </row>
    <row r="28">
      <c r="A28" s="5" t="inlineStr">
        <is>
          <t>XXVI</t>
        </is>
      </c>
      <c r="B28" s="21" t="n">
        <v>6960</v>
      </c>
      <c r="C28" s="24">
        <f>D28*C27</f>
        <v/>
      </c>
      <c r="D28" s="25">
        <f>B28/B27</f>
        <v/>
      </c>
      <c r="E28" s="21">
        <f>C28-C27</f>
        <v/>
      </c>
    </row>
    <row r="29">
      <c r="A29" s="5" t="inlineStr">
        <is>
          <t>XXVII</t>
        </is>
      </c>
      <c r="B29" s="21" t="n">
        <v>7310</v>
      </c>
      <c r="C29" s="24">
        <f>D29*C28</f>
        <v/>
      </c>
      <c r="D29" s="25">
        <f>B29/B28</f>
        <v/>
      </c>
      <c r="E29" s="21">
        <f>C29-C28</f>
        <v/>
      </c>
    </row>
    <row r="30">
      <c r="A30" s="5" t="inlineStr">
        <is>
          <t>XXVIII</t>
        </is>
      </c>
      <c r="B30" s="21" t="n">
        <v>7660</v>
      </c>
      <c r="C30" s="24">
        <f>D30*C29</f>
        <v/>
      </c>
      <c r="D30" s="25">
        <f>B30/B29</f>
        <v/>
      </c>
      <c r="E30" s="21">
        <f>C30-C29</f>
        <v/>
      </c>
    </row>
    <row r="31">
      <c r="A31" s="5" t="inlineStr">
        <is>
          <t>XXIX</t>
        </is>
      </c>
      <c r="B31" s="21" t="n">
        <v>8010</v>
      </c>
      <c r="C31" s="24">
        <f>D31*C30</f>
        <v/>
      </c>
      <c r="D31" s="25">
        <f>B31/B30</f>
        <v/>
      </c>
      <c r="E31" s="21">
        <f>C31-C30</f>
        <v/>
      </c>
    </row>
    <row r="32">
      <c r="A32" s="5" t="inlineStr">
        <is>
          <t>XXX</t>
        </is>
      </c>
      <c r="B32" s="21" t="n">
        <v>8510</v>
      </c>
      <c r="C32" s="24">
        <f>D32*C31</f>
        <v/>
      </c>
      <c r="D32" s="25">
        <f>B32/B31</f>
        <v/>
      </c>
      <c r="E32" s="21">
        <f>C32-C31</f>
        <v/>
      </c>
    </row>
    <row r="33">
      <c r="A33" s="5" t="inlineStr">
        <is>
          <t>XXXI</t>
        </is>
      </c>
      <c r="B33" s="21" t="n">
        <v>9010</v>
      </c>
      <c r="C33" s="24">
        <f>D33*C32</f>
        <v/>
      </c>
      <c r="D33" s="25">
        <f>B33/B32</f>
        <v/>
      </c>
      <c r="E33" s="21">
        <f>C33-C32</f>
        <v/>
      </c>
    </row>
    <row r="34">
      <c r="A34" s="5" t="inlineStr">
        <is>
          <t>XXXII</t>
        </is>
      </c>
      <c r="B34" s="21" t="n">
        <v>9510</v>
      </c>
      <c r="C34" s="24">
        <f>D34*C33</f>
        <v/>
      </c>
      <c r="D34" s="25">
        <f>B34/B33</f>
        <v/>
      </c>
      <c r="E34" s="21">
        <f>C34-C33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52" customWidth="1" min="4" max="4"/>
    <col width="14" customWidth="1" min="5" max="5"/>
    <col width="20" customWidth="1" min="6" max="6"/>
  </cols>
  <sheetData>
    <row r="1">
      <c r="A1" s="3" t="inlineStr">
        <is>
          <t>Id.</t>
        </is>
      </c>
      <c r="B1" s="3" t="inlineStr">
        <is>
          <t>Hoja fuente</t>
        </is>
      </c>
      <c r="C1" s="3" t="inlineStr">
        <is>
          <t>Fila</t>
        </is>
      </c>
      <c r="D1" s="3" t="inlineStr">
        <is>
          <t>Cargo</t>
        </is>
      </c>
      <c r="E1" s="3" t="inlineStr">
        <is>
          <t>Grupo propuesto</t>
        </is>
      </c>
      <c r="F1" s="3" t="inlineStr">
        <is>
          <t>Salario propuesto (CUP)</t>
        </is>
      </c>
    </row>
    <row r="2">
      <c r="A2" s="5" t="n">
        <v>1</v>
      </c>
      <c r="B2" s="26" t="inlineStr">
        <is>
          <t>Plantilla Emp</t>
        </is>
      </c>
      <c r="C2" s="7" t="n">
        <v>20</v>
      </c>
      <c r="D2" s="26" t="inlineStr">
        <is>
          <t>Director</t>
        </is>
      </c>
      <c r="E2" s="27" t="inlineStr">
        <is>
          <t>XVIII</t>
        </is>
      </c>
      <c r="F2" s="28" t="n">
        <v>9072</v>
      </c>
    </row>
    <row r="3">
      <c r="A3" s="5" t="n">
        <v>2</v>
      </c>
      <c r="B3" s="29" t="inlineStr">
        <is>
          <t>Plantilla Emp</t>
        </is>
      </c>
      <c r="C3" s="30" t="n">
        <v>21</v>
      </c>
      <c r="D3" s="29" t="inlineStr">
        <is>
          <t>Director Adjunto</t>
        </is>
      </c>
      <c r="E3" s="31" t="inlineStr">
        <is>
          <t>XVII</t>
        </is>
      </c>
      <c r="F3" s="32" t="n">
        <v>8400</v>
      </c>
    </row>
    <row r="4">
      <c r="A4" s="5" t="n">
        <v>3</v>
      </c>
      <c r="B4" s="26" t="inlineStr">
        <is>
          <t>Plantilla Emp</t>
        </is>
      </c>
      <c r="C4" s="7" t="n">
        <v>22</v>
      </c>
      <c r="D4" s="26" t="inlineStr">
        <is>
          <t>Especialista  en Cuadro</t>
        </is>
      </c>
      <c r="E4" s="27" t="inlineStr">
        <is>
          <t>XIV</t>
        </is>
      </c>
      <c r="F4" s="28" t="n">
        <v>6668</v>
      </c>
    </row>
    <row r="5">
      <c r="A5" s="5" t="n">
        <v>4</v>
      </c>
      <c r="B5" s="29" t="inlineStr">
        <is>
          <t>Plantilla Emp</t>
        </is>
      </c>
      <c r="C5" s="30" t="n">
        <v>23</v>
      </c>
      <c r="D5" s="29" t="inlineStr">
        <is>
          <t>Inspector  Sup. del Servicio Turistico</t>
        </is>
      </c>
      <c r="E5" s="31" t="inlineStr">
        <is>
          <t>XIV</t>
        </is>
      </c>
      <c r="F5" s="32" t="n">
        <v>6668</v>
      </c>
    </row>
    <row r="6">
      <c r="A6" s="5" t="n">
        <v>5</v>
      </c>
      <c r="B6" s="26" t="inlineStr">
        <is>
          <t>Plantilla Emp</t>
        </is>
      </c>
      <c r="C6" s="7" t="n">
        <v>24</v>
      </c>
      <c r="D6" s="26" t="inlineStr">
        <is>
          <t>Chofer vehiculos ligeros</t>
        </is>
      </c>
      <c r="E6" s="27" t="inlineStr">
        <is>
          <t>VIII</t>
        </is>
      </c>
      <c r="F6" s="28" t="n">
        <v>4402</v>
      </c>
    </row>
    <row r="7">
      <c r="A7" s="5" t="n">
        <v>6</v>
      </c>
      <c r="B7" s="29" t="inlineStr">
        <is>
          <t>Plantilla Emp</t>
        </is>
      </c>
      <c r="C7" s="30" t="n">
        <v>25</v>
      </c>
      <c r="D7" s="29" t="inlineStr">
        <is>
          <t>Secretaria</t>
        </is>
      </c>
      <c r="E7" s="31" t="inlineStr">
        <is>
          <t>XI</t>
        </is>
      </c>
      <c r="F7" s="32" t="n">
        <v>5343</v>
      </c>
    </row>
    <row r="8">
      <c r="A8" s="5" t="n">
        <v>7</v>
      </c>
      <c r="B8" s="26" t="inlineStr">
        <is>
          <t>Plantilla Emp</t>
        </is>
      </c>
      <c r="C8" s="7" t="n">
        <v>26</v>
      </c>
      <c r="D8" s="26" t="inlineStr">
        <is>
          <t>Asesor Juridico</t>
        </is>
      </c>
      <c r="E8" s="27" t="inlineStr">
        <is>
          <t>XIV</t>
        </is>
      </c>
      <c r="F8" s="28" t="n">
        <v>6668</v>
      </c>
    </row>
    <row r="9">
      <c r="A9" s="5" t="n">
        <v>8</v>
      </c>
      <c r="B9" s="29" t="inlineStr">
        <is>
          <t>Plantilla Emp</t>
        </is>
      </c>
      <c r="C9" s="30" t="n">
        <v>27</v>
      </c>
      <c r="D9" s="29" t="inlineStr">
        <is>
          <t>Especialista en Informatica y comunic.</t>
        </is>
      </c>
      <c r="E9" s="31" t="inlineStr">
        <is>
          <t>XIV</t>
        </is>
      </c>
      <c r="F9" s="32" t="n">
        <v>6668</v>
      </c>
    </row>
    <row r="10">
      <c r="A10" s="5" t="n">
        <v>9</v>
      </c>
      <c r="B10" s="26" t="inlineStr">
        <is>
          <t>Plantilla Emp</t>
        </is>
      </c>
      <c r="C10" s="7" t="n">
        <v>28</v>
      </c>
      <c r="D10" s="26" t="inlineStr">
        <is>
          <t>Auditor Adjunto</t>
        </is>
      </c>
      <c r="E10" s="27" t="inlineStr">
        <is>
          <t>XIV</t>
        </is>
      </c>
      <c r="F10" s="28" t="n">
        <v>6668</v>
      </c>
    </row>
    <row r="11">
      <c r="A11" s="5" t="n">
        <v>10</v>
      </c>
      <c r="B11" s="29" t="inlineStr">
        <is>
          <t>Plantilla Emp</t>
        </is>
      </c>
      <c r="C11" s="30" t="n">
        <v>29</v>
      </c>
      <c r="D11" s="29" t="inlineStr">
        <is>
          <t>Especialista Gestion Documental</t>
        </is>
      </c>
      <c r="E11" s="31" t="inlineStr">
        <is>
          <t>XIV</t>
        </is>
      </c>
      <c r="F11" s="32" t="n">
        <v>6668</v>
      </c>
    </row>
    <row r="12">
      <c r="A12" s="5" t="n">
        <v>11</v>
      </c>
      <c r="B12" s="26" t="inlineStr">
        <is>
          <t>Plantilla Emp</t>
        </is>
      </c>
      <c r="C12" s="7" t="n">
        <v>30</v>
      </c>
      <c r="D12" s="26" t="inlineStr">
        <is>
          <t>Encargado de Actividades Generales</t>
        </is>
      </c>
      <c r="E12" s="27" t="inlineStr">
        <is>
          <t>XI</t>
        </is>
      </c>
      <c r="F12" s="28" t="n">
        <v>5343</v>
      </c>
    </row>
    <row r="13">
      <c r="A13" s="5" t="n">
        <v>12</v>
      </c>
      <c r="B13" s="29" t="inlineStr">
        <is>
          <t>Plantilla Emp</t>
        </is>
      </c>
      <c r="C13" s="30" t="n">
        <v>31</v>
      </c>
      <c r="D13" s="29" t="inlineStr">
        <is>
          <t>Encargado de Recepción y Pizarra Telefonica</t>
        </is>
      </c>
      <c r="E13" s="31" t="inlineStr">
        <is>
          <t>VI</t>
        </is>
      </c>
      <c r="F13" s="32" t="n">
        <v>3918</v>
      </c>
    </row>
    <row r="14">
      <c r="A14" s="5" t="n">
        <v>13</v>
      </c>
      <c r="B14" s="26" t="inlineStr">
        <is>
          <t>Plantilla Emp</t>
        </is>
      </c>
      <c r="C14" s="7" t="n">
        <v>32</v>
      </c>
      <c r="D14" s="26" t="inlineStr">
        <is>
          <t>Auxiliar General de Servicios</t>
        </is>
      </c>
      <c r="E14" s="27" t="inlineStr">
        <is>
          <t>VII</t>
        </is>
      </c>
      <c r="F14" s="28" t="n">
        <v>4153</v>
      </c>
    </row>
    <row r="15">
      <c r="A15" s="5" t="n">
        <v>14</v>
      </c>
      <c r="B15" s="29" t="inlineStr">
        <is>
          <t>Plantilla Emp</t>
        </is>
      </c>
      <c r="C15" s="30" t="n">
        <v>33</v>
      </c>
      <c r="D15" s="29" t="inlineStr">
        <is>
          <t>Operario de mantenimientos y servicio tecnicos</t>
        </is>
      </c>
      <c r="E15" s="31" t="inlineStr">
        <is>
          <t>VII</t>
        </is>
      </c>
      <c r="F15" s="32" t="n">
        <v>4153</v>
      </c>
    </row>
    <row r="16">
      <c r="A16" s="5" t="n">
        <v>15</v>
      </c>
      <c r="B16" s="26" t="inlineStr">
        <is>
          <t>Plantilla Emp</t>
        </is>
      </c>
      <c r="C16" s="7" t="n">
        <v>34</v>
      </c>
      <c r="D16" s="26" t="inlineStr">
        <is>
          <t>Oficial Operativo Centro Direcc.</t>
        </is>
      </c>
      <c r="E16" s="27" t="inlineStr">
        <is>
          <t>XI</t>
        </is>
      </c>
      <c r="F16" s="28" t="n">
        <v>5343</v>
      </c>
    </row>
    <row r="17">
      <c r="A17" s="5" t="n">
        <v>16</v>
      </c>
      <c r="B17" s="29" t="inlineStr">
        <is>
          <t>Plantilla Emp</t>
        </is>
      </c>
      <c r="C17" s="30" t="n">
        <v>36</v>
      </c>
      <c r="D17" s="29" t="inlineStr">
        <is>
          <t>Jefe Dpto. Seg. Defensa y Proteccion</t>
        </is>
      </c>
      <c r="E17" s="31" t="inlineStr">
        <is>
          <t>XV</t>
        </is>
      </c>
      <c r="F17" s="32" t="n">
        <v>7201</v>
      </c>
    </row>
    <row r="18">
      <c r="A18" s="5" t="n">
        <v>17</v>
      </c>
      <c r="B18" s="26" t="inlineStr">
        <is>
          <t>Plantilla Emp</t>
        </is>
      </c>
      <c r="C18" s="7" t="n">
        <v>37</v>
      </c>
      <c r="D18" s="26" t="inlineStr">
        <is>
          <t>Agentes de Seguridad y Protección</t>
        </is>
      </c>
      <c r="E18" s="27" t="inlineStr">
        <is>
          <t>VIII</t>
        </is>
      </c>
      <c r="F18" s="28" t="n">
        <v>4402</v>
      </c>
    </row>
    <row r="19">
      <c r="A19" s="5" t="n">
        <v>18</v>
      </c>
      <c r="B19" s="29" t="inlineStr">
        <is>
          <t>Plantilla Emp</t>
        </is>
      </c>
      <c r="C19" s="30" t="n">
        <v>39</v>
      </c>
      <c r="D19" s="29" t="inlineStr">
        <is>
          <t>Director Contable Financiero</t>
        </is>
      </c>
      <c r="E19" s="31" t="inlineStr">
        <is>
          <t>XVI</t>
        </is>
      </c>
      <c r="F19" s="32" t="n">
        <v>7777</v>
      </c>
    </row>
    <row r="20">
      <c r="A20" s="5" t="n">
        <v>19</v>
      </c>
      <c r="B20" s="26" t="inlineStr">
        <is>
          <t>Plantilla Emp</t>
        </is>
      </c>
      <c r="C20" s="7" t="n">
        <v>40</v>
      </c>
      <c r="D20" s="26" t="inlineStr">
        <is>
          <t>Tecnico en Gestión Económica</t>
        </is>
      </c>
      <c r="E20" s="27" t="inlineStr">
        <is>
          <t>XII</t>
        </is>
      </c>
      <c r="F20" s="28" t="n">
        <v>5770</v>
      </c>
    </row>
    <row r="21">
      <c r="A21" s="5" t="n">
        <v>20</v>
      </c>
      <c r="B21" s="29" t="inlineStr">
        <is>
          <t>Plantilla Emp</t>
        </is>
      </c>
      <c r="C21" s="30" t="n">
        <v>41</v>
      </c>
      <c r="D21" s="29" t="inlineStr">
        <is>
          <t>Especialista en Gestion Económico</t>
        </is>
      </c>
      <c r="E21" s="31" t="inlineStr">
        <is>
          <t>XIV</t>
        </is>
      </c>
      <c r="F21" s="32" t="n">
        <v>6668</v>
      </c>
    </row>
    <row r="22">
      <c r="A22" s="5" t="n">
        <v>21</v>
      </c>
      <c r="B22" s="26" t="inlineStr">
        <is>
          <t>Plantilla Emp</t>
        </is>
      </c>
      <c r="C22" s="7" t="n">
        <v>43</v>
      </c>
      <c r="D22" s="26" t="inlineStr">
        <is>
          <t>Director de Capital Humano y Perfeccionamiento Empresarial</t>
        </is>
      </c>
      <c r="E22" s="27" t="inlineStr">
        <is>
          <t>XVI</t>
        </is>
      </c>
      <c r="F22" s="28" t="n">
        <v>7777</v>
      </c>
    </row>
    <row r="23">
      <c r="A23" s="5" t="n">
        <v>22</v>
      </c>
      <c r="B23" s="29" t="inlineStr">
        <is>
          <t>Plantilla Emp</t>
        </is>
      </c>
      <c r="C23" s="30" t="n">
        <v>44</v>
      </c>
      <c r="D23" s="29" t="inlineStr">
        <is>
          <t>Especialista en Gestion de Capital  Humanos</t>
        </is>
      </c>
      <c r="E23" s="31" t="inlineStr">
        <is>
          <t>XIV</t>
        </is>
      </c>
      <c r="F23" s="32" t="n">
        <v>6668</v>
      </c>
    </row>
    <row r="24">
      <c r="A24" s="5" t="n">
        <v>23</v>
      </c>
      <c r="B24" s="26" t="inlineStr">
        <is>
          <t>Plantilla Emp</t>
        </is>
      </c>
      <c r="C24" s="7" t="n">
        <v>46</v>
      </c>
      <c r="D24" s="26" t="inlineStr">
        <is>
          <t>Director de Operaciones y Calidad</t>
        </is>
      </c>
      <c r="E24" s="27" t="inlineStr">
        <is>
          <t>XVI</t>
        </is>
      </c>
      <c r="F24" s="28" t="n">
        <v>7777</v>
      </c>
    </row>
    <row r="25">
      <c r="A25" s="5" t="n">
        <v>24</v>
      </c>
      <c r="B25" s="29" t="inlineStr">
        <is>
          <t>Plantilla Emp</t>
        </is>
      </c>
      <c r="C25" s="30" t="n">
        <v>47</v>
      </c>
      <c r="D25" s="29" t="inlineStr">
        <is>
          <t>Especialista de Calidad</t>
        </is>
      </c>
      <c r="E25" s="31" t="inlineStr">
        <is>
          <t>XIV</t>
        </is>
      </c>
      <c r="F25" s="32" t="n">
        <v>6668</v>
      </c>
    </row>
    <row r="26">
      <c r="A26" s="5" t="n">
        <v>25</v>
      </c>
      <c r="B26" s="26" t="inlineStr">
        <is>
          <t>Plantilla Emp</t>
        </is>
      </c>
      <c r="C26" s="7" t="n">
        <v>48</v>
      </c>
      <c r="D26" s="26" t="inlineStr">
        <is>
          <t>Espècialista Recreación y Animacion</t>
        </is>
      </c>
      <c r="E26" s="27" t="inlineStr">
        <is>
          <t>XIV</t>
        </is>
      </c>
      <c r="F26" s="28" t="n">
        <v>6668</v>
      </c>
    </row>
    <row r="27">
      <c r="A27" s="5" t="n">
        <v>26</v>
      </c>
      <c r="B27" s="29" t="inlineStr">
        <is>
          <t>Plantilla Emp</t>
        </is>
      </c>
      <c r="C27" s="30" t="n">
        <v>49</v>
      </c>
      <c r="D27" s="29" t="inlineStr">
        <is>
          <t>Especialista en Alimentos y Bebidas</t>
        </is>
      </c>
      <c r="E27" s="31" t="inlineStr">
        <is>
          <t>XIV</t>
        </is>
      </c>
      <c r="F27" s="32" t="n">
        <v>6668</v>
      </c>
    </row>
    <row r="28">
      <c r="A28" s="5" t="n">
        <v>27</v>
      </c>
      <c r="B28" s="26" t="inlineStr">
        <is>
          <t>Plantilla Emp</t>
        </is>
      </c>
      <c r="C28" s="7" t="n">
        <v>51</v>
      </c>
      <c r="D28" s="26" t="inlineStr">
        <is>
          <t>Director Comercial</t>
        </is>
      </c>
      <c r="E28" s="27" t="inlineStr">
        <is>
          <t>XV</t>
        </is>
      </c>
      <c r="F28" s="28" t="n">
        <v>7777</v>
      </c>
    </row>
    <row r="29">
      <c r="A29" s="5" t="n">
        <v>28</v>
      </c>
      <c r="B29" s="29" t="inlineStr">
        <is>
          <t>Plantilla Emp</t>
        </is>
      </c>
      <c r="C29" s="30" t="n">
        <v>52</v>
      </c>
      <c r="D29" s="29" t="inlineStr">
        <is>
          <t>Especialista  en Comercialización del Producto Turístico</t>
        </is>
      </c>
      <c r="E29" s="31" t="inlineStr">
        <is>
          <t>XIV</t>
        </is>
      </c>
      <c r="F29" s="32" t="n">
        <v>6668</v>
      </c>
    </row>
    <row r="30">
      <c r="A30" s="5" t="n">
        <v>29</v>
      </c>
      <c r="B30" s="26" t="inlineStr">
        <is>
          <t>Plantilla Emp</t>
        </is>
      </c>
      <c r="C30" s="7" t="n">
        <v>53</v>
      </c>
      <c r="D30" s="26" t="inlineStr">
        <is>
          <t>Promotor de Ventas e Información turistica</t>
        </is>
      </c>
      <c r="E30" s="27" t="inlineStr">
        <is>
          <t>IX</t>
        </is>
      </c>
      <c r="F30" s="28" t="n">
        <v>4666</v>
      </c>
    </row>
    <row r="31">
      <c r="A31" s="5" t="n">
        <v>30</v>
      </c>
      <c r="B31" s="29" t="inlineStr">
        <is>
          <t>Plantilla Emp</t>
        </is>
      </c>
      <c r="C31" s="30" t="n">
        <v>55</v>
      </c>
      <c r="D31" s="29" t="inlineStr">
        <is>
          <t>Director de Inversiones,Logistica y Servicios Tecnicos</t>
        </is>
      </c>
      <c r="E31" s="31" t="inlineStr">
        <is>
          <t>XVI</t>
        </is>
      </c>
      <c r="F31" s="32" t="n">
        <v>7777</v>
      </c>
    </row>
    <row r="32">
      <c r="A32" s="5" t="n">
        <v>31</v>
      </c>
      <c r="B32" s="26" t="inlineStr">
        <is>
          <t>Plantilla Emp</t>
        </is>
      </c>
      <c r="C32" s="7" t="n">
        <v>56</v>
      </c>
      <c r="D32" s="26" t="inlineStr">
        <is>
          <t>Tecnico  de Transporte Automotor</t>
        </is>
      </c>
      <c r="E32" s="27" t="inlineStr">
        <is>
          <t>XII</t>
        </is>
      </c>
      <c r="F32" s="28" t="n">
        <v>5770</v>
      </c>
    </row>
    <row r="33">
      <c r="A33" s="5" t="n">
        <v>32</v>
      </c>
      <c r="B33" s="29" t="inlineStr">
        <is>
          <t>Plantilla Emp</t>
        </is>
      </c>
      <c r="C33" s="30" t="n">
        <v>57</v>
      </c>
      <c r="D33" s="29" t="inlineStr">
        <is>
          <t>Especialista B en Ahorro y Uso Racional de la Energía</t>
        </is>
      </c>
      <c r="E33" s="31" t="inlineStr">
        <is>
          <t>XIV</t>
        </is>
      </c>
      <c r="F33" s="32" t="n">
        <v>6668</v>
      </c>
    </row>
    <row r="34">
      <c r="A34" s="5" t="n">
        <v>33</v>
      </c>
      <c r="B34" s="26" t="inlineStr">
        <is>
          <t>Plantilla Emp</t>
        </is>
      </c>
      <c r="C34" s="7" t="n">
        <v>58</v>
      </c>
      <c r="D34" s="26" t="inlineStr">
        <is>
          <t>Chofer  Vehiculos de Carga</t>
        </is>
      </c>
      <c r="E34" s="27" t="inlineStr">
        <is>
          <t>IX</t>
        </is>
      </c>
      <c r="F34" s="28" t="n">
        <v>4666</v>
      </c>
    </row>
    <row r="35">
      <c r="A35" s="5" t="n">
        <v>34</v>
      </c>
      <c r="B35" s="29" t="inlineStr">
        <is>
          <t>Plantilla Emp</t>
        </is>
      </c>
      <c r="C35" s="30" t="n">
        <v>59</v>
      </c>
      <c r="D35" s="29" t="inlineStr">
        <is>
          <t>Comprador</t>
        </is>
      </c>
      <c r="E35" s="31" t="inlineStr">
        <is>
          <t>XI</t>
        </is>
      </c>
      <c r="F35" s="32" t="n">
        <v>5343</v>
      </c>
    </row>
    <row r="36">
      <c r="A36" s="5" t="n">
        <v>35</v>
      </c>
      <c r="B36" s="26" t="inlineStr">
        <is>
          <t>Plantilla Emp</t>
        </is>
      </c>
      <c r="C36" s="7" t="n">
        <v>60</v>
      </c>
      <c r="D36" s="26" t="inlineStr">
        <is>
          <t>Encargado de Almacén</t>
        </is>
      </c>
      <c r="E36" s="27" t="inlineStr">
        <is>
          <t>VIII</t>
        </is>
      </c>
      <c r="F36" s="28" t="n">
        <v>4402</v>
      </c>
    </row>
    <row r="37">
      <c r="A37" s="5" t="n">
        <v>36</v>
      </c>
      <c r="B37" s="29" t="inlineStr">
        <is>
          <t>Plantilla Emp</t>
        </is>
      </c>
      <c r="C37" s="30" t="n">
        <v>61</v>
      </c>
      <c r="D37" s="29" t="inlineStr">
        <is>
          <t>Dependiente de  Almacén</t>
        </is>
      </c>
      <c r="E37" s="31" t="inlineStr">
        <is>
          <t>VII</t>
        </is>
      </c>
      <c r="F37" s="32" t="n">
        <v>4153</v>
      </c>
    </row>
    <row r="38">
      <c r="A38" s="5" t="n">
        <v>37</v>
      </c>
      <c r="B38" s="26" t="inlineStr">
        <is>
          <t>Plantilla Emp</t>
        </is>
      </c>
      <c r="C38" s="7" t="n">
        <v>63</v>
      </c>
      <c r="D38" s="26" t="inlineStr">
        <is>
          <t>Espec. en Desarr. De programa Turist. Inversiones</t>
        </is>
      </c>
      <c r="E38" s="27" t="inlineStr">
        <is>
          <t>XIV</t>
        </is>
      </c>
      <c r="F38" s="28" t="n">
        <v>6668</v>
      </c>
    </row>
    <row r="39">
      <c r="A39" s="5" t="n">
        <v>38</v>
      </c>
      <c r="B39" s="29" t="inlineStr">
        <is>
          <t>Plantilla Emp</t>
        </is>
      </c>
      <c r="C39" s="30" t="n">
        <v>64</v>
      </c>
      <c r="D39" s="29" t="inlineStr">
        <is>
          <t>Especialista en obras de Mantenimiento</t>
        </is>
      </c>
      <c r="E39" s="31" t="inlineStr">
        <is>
          <t>XIV</t>
        </is>
      </c>
      <c r="F39" s="32" t="n">
        <v>6668</v>
      </c>
    </row>
    <row r="40">
      <c r="A40" s="5" t="n">
        <v>39</v>
      </c>
      <c r="B40" s="26" t="inlineStr">
        <is>
          <t>P-2 Dos Hermanas</t>
        </is>
      </c>
      <c r="C40" s="7" t="n">
        <v>23</v>
      </c>
      <c r="D40" s="26" t="inlineStr">
        <is>
          <t>Director de las Instalaciones y/o los Complejos</t>
        </is>
      </c>
      <c r="E40" s="27" t="inlineStr">
        <is>
          <t>XV</t>
        </is>
      </c>
      <c r="F40" s="28" t="n">
        <v>7201</v>
      </c>
    </row>
    <row r="41">
      <c r="A41" s="5" t="n">
        <v>40</v>
      </c>
      <c r="B41" s="29" t="inlineStr">
        <is>
          <t>P-2 Dos Hermanas</t>
        </is>
      </c>
      <c r="C41" s="30" t="n">
        <v>24</v>
      </c>
      <c r="D41" s="29" t="inlineStr">
        <is>
          <t>Subdirector Asis. de Serv y Calidad</t>
        </is>
      </c>
      <c r="E41" s="31" t="inlineStr">
        <is>
          <t>XIV</t>
        </is>
      </c>
      <c r="F41" s="32" t="n">
        <v>6668</v>
      </c>
    </row>
    <row r="42">
      <c r="A42" s="5" t="n">
        <v>41</v>
      </c>
      <c r="B42" s="26" t="inlineStr">
        <is>
          <t>P-2 Dos Hermanas</t>
        </is>
      </c>
      <c r="C42" s="7" t="n">
        <v>25</v>
      </c>
      <c r="D42" s="26" t="inlineStr">
        <is>
          <t>Subdirector Asistente de   Control  Interno.</t>
        </is>
      </c>
      <c r="E42" s="27" t="inlineStr">
        <is>
          <t>XIV</t>
        </is>
      </c>
      <c r="F42" s="28" t="n">
        <v>6668</v>
      </c>
    </row>
    <row r="43">
      <c r="A43" s="5" t="n">
        <v>42</v>
      </c>
      <c r="B43" s="29" t="inlineStr">
        <is>
          <t>P-2 Dos Hermanas</t>
        </is>
      </c>
      <c r="C43" s="30" t="n">
        <v>26</v>
      </c>
      <c r="D43" s="29" t="inlineStr">
        <is>
          <t>Técnico  en Gestión Capital  Humanos</t>
        </is>
      </c>
      <c r="E43" s="31" t="inlineStr">
        <is>
          <t>XI</t>
        </is>
      </c>
      <c r="F43" s="32" t="n">
        <v>5343</v>
      </c>
    </row>
    <row r="44">
      <c r="A44" s="5" t="n">
        <v>43</v>
      </c>
      <c r="B44" s="26" t="inlineStr">
        <is>
          <t>P-2 Dos Hermanas</t>
        </is>
      </c>
      <c r="C44" s="7" t="n">
        <v>28</v>
      </c>
      <c r="D44" s="26" t="inlineStr">
        <is>
          <t>Especialista en Gestion Económico  (EP)</t>
        </is>
      </c>
      <c r="E44" s="27" t="inlineStr">
        <is>
          <t>XIV</t>
        </is>
      </c>
      <c r="F44" s="28" t="n">
        <v>6668</v>
      </c>
    </row>
    <row r="45">
      <c r="A45" s="5" t="n">
        <v>44</v>
      </c>
      <c r="B45" s="29" t="inlineStr">
        <is>
          <t>P-2 Dos Hermanas</t>
        </is>
      </c>
      <c r="C45" s="30" t="n">
        <v>29</v>
      </c>
      <c r="D45" s="29" t="inlineStr">
        <is>
          <t>Técnico Gestión Económica</t>
        </is>
      </c>
      <c r="E45" s="31" t="inlineStr">
        <is>
          <t>XI</t>
        </is>
      </c>
      <c r="F45" s="32" t="n">
        <v>5343</v>
      </c>
    </row>
    <row r="46">
      <c r="A46" s="5" t="n">
        <v>45</v>
      </c>
      <c r="B46" s="26" t="inlineStr">
        <is>
          <t>P-2 Dos Hermanas</t>
        </is>
      </c>
      <c r="C46" s="7" t="n">
        <v>31</v>
      </c>
      <c r="D46" s="26" t="inlineStr">
        <is>
          <t>Dependiente  Gastronomico</t>
        </is>
      </c>
      <c r="E46" s="27" t="inlineStr">
        <is>
          <t>IX</t>
        </is>
      </c>
      <c r="F46" s="28" t="n">
        <v>4666</v>
      </c>
    </row>
    <row r="47">
      <c r="A47" s="5" t="n">
        <v>46</v>
      </c>
      <c r="B47" s="29" t="inlineStr">
        <is>
          <t>P-2 Dos Hermanas</t>
        </is>
      </c>
      <c r="C47" s="30" t="n">
        <v>32</v>
      </c>
      <c r="D47" s="29" t="inlineStr">
        <is>
          <t>Maestro de Cocina</t>
        </is>
      </c>
      <c r="E47" s="31" t="inlineStr">
        <is>
          <t>XI</t>
        </is>
      </c>
      <c r="F47" s="32" t="n">
        <v>5343</v>
      </c>
    </row>
    <row r="48">
      <c r="A48" s="5" t="n">
        <v>47</v>
      </c>
      <c r="B48" s="26" t="inlineStr">
        <is>
          <t>P-2 Dos Hermanas</t>
        </is>
      </c>
      <c r="C48" s="7" t="n">
        <v>33</v>
      </c>
      <c r="D48" s="26" t="inlineStr">
        <is>
          <t>Cocinero</t>
        </is>
      </c>
      <c r="E48" s="27" t="inlineStr">
        <is>
          <t>X</t>
        </is>
      </c>
      <c r="F48" s="28" t="n">
        <v>4993</v>
      </c>
    </row>
    <row r="49">
      <c r="A49" s="5" t="n">
        <v>48</v>
      </c>
      <c r="B49" s="29" t="inlineStr">
        <is>
          <t>P-2 Dos Hermanas</t>
        </is>
      </c>
      <c r="C49" s="30" t="n">
        <v>34</v>
      </c>
      <c r="D49" s="29" t="inlineStr">
        <is>
          <t>Elaborador de Alimentos</t>
        </is>
      </c>
      <c r="E49" s="31" t="inlineStr">
        <is>
          <t>IX</t>
        </is>
      </c>
      <c r="F49" s="32" t="n">
        <v>4666</v>
      </c>
    </row>
    <row r="50">
      <c r="A50" s="5" t="n">
        <v>49</v>
      </c>
      <c r="B50" s="26" t="inlineStr">
        <is>
          <t>P-2 Dos Hermanas</t>
        </is>
      </c>
      <c r="C50" s="7" t="n">
        <v>35</v>
      </c>
      <c r="D50" s="26" t="inlineStr">
        <is>
          <t>Recepcionista Hotelero</t>
        </is>
      </c>
      <c r="E50" s="27" t="inlineStr">
        <is>
          <t>IX</t>
        </is>
      </c>
      <c r="F50" s="28" t="n">
        <v>4666</v>
      </c>
    </row>
    <row r="51">
      <c r="A51" s="5" t="n">
        <v>50</v>
      </c>
      <c r="B51" s="29" t="inlineStr">
        <is>
          <t>P-2 Dos Hermanas</t>
        </is>
      </c>
      <c r="C51" s="30" t="n">
        <v>36</v>
      </c>
      <c r="D51" s="29" t="inlineStr">
        <is>
          <t>Camarera de Habitaciones</t>
        </is>
      </c>
      <c r="E51" s="31" t="inlineStr">
        <is>
          <t>IX</t>
        </is>
      </c>
      <c r="F51" s="32" t="n">
        <v>4666</v>
      </c>
    </row>
    <row r="52">
      <c r="A52" s="5" t="n">
        <v>51</v>
      </c>
      <c r="B52" s="26" t="inlineStr">
        <is>
          <t>P-2 Dos Hermanas</t>
        </is>
      </c>
      <c r="C52" s="7" t="n">
        <v>37</v>
      </c>
      <c r="D52" s="26" t="inlineStr">
        <is>
          <t>Camarera de Habitaciones JB</t>
        </is>
      </c>
      <c r="E52" s="27" t="inlineStr">
        <is>
          <t>XII</t>
        </is>
      </c>
      <c r="F52" s="28" t="n">
        <v>5770</v>
      </c>
    </row>
    <row r="53">
      <c r="A53" s="5" t="n">
        <v>52</v>
      </c>
      <c r="B53" s="29" t="inlineStr">
        <is>
          <t>P-2 Dos Hermanas</t>
        </is>
      </c>
      <c r="C53" s="30" t="n">
        <v>38</v>
      </c>
      <c r="D53" s="29" t="inlineStr">
        <is>
          <t>Técnico de Recreacion y Animación JB</t>
        </is>
      </c>
      <c r="E53" s="31" t="inlineStr">
        <is>
          <t>XII</t>
        </is>
      </c>
      <c r="F53" s="32" t="n">
        <v>5770</v>
      </c>
    </row>
    <row r="54">
      <c r="A54" s="5" t="n">
        <v>53</v>
      </c>
      <c r="B54" s="26" t="inlineStr">
        <is>
          <t>P-2 Dos Hermanas</t>
        </is>
      </c>
      <c r="C54" s="7" t="n">
        <v>39</v>
      </c>
      <c r="D54" s="26" t="inlineStr">
        <is>
          <t>Técnico de Recreacion y Animación</t>
        </is>
      </c>
      <c r="E54" s="27" t="inlineStr">
        <is>
          <t>IX</t>
        </is>
      </c>
      <c r="F54" s="28" t="n">
        <v>4666</v>
      </c>
    </row>
    <row r="55">
      <c r="A55" s="5" t="n">
        <v>54</v>
      </c>
      <c r="B55" s="29" t="inlineStr">
        <is>
          <t>P-2 Dos Hermanas</t>
        </is>
      </c>
      <c r="C55" s="30" t="n">
        <v>41</v>
      </c>
      <c r="D55" s="29" t="inlineStr">
        <is>
          <t>Encargado de Almacén</t>
        </is>
      </c>
      <c r="E55" s="31" t="inlineStr">
        <is>
          <t>VI</t>
        </is>
      </c>
      <c r="F55" s="32" t="n">
        <v>3918</v>
      </c>
    </row>
    <row r="56">
      <c r="A56" s="5" t="n">
        <v>55</v>
      </c>
      <c r="B56" s="26" t="inlineStr">
        <is>
          <t>P-2 Dos Hermanas</t>
        </is>
      </c>
      <c r="C56" s="7" t="n">
        <v>42</v>
      </c>
      <c r="D56" s="26" t="inlineStr">
        <is>
          <t>Operario de MantenT. Y Serv. Tecnicos</t>
        </is>
      </c>
      <c r="E56" s="27" t="inlineStr">
        <is>
          <t>VII</t>
        </is>
      </c>
      <c r="F56" s="28" t="n">
        <v>4153</v>
      </c>
    </row>
    <row r="57">
      <c r="A57" s="5" t="n">
        <v>56</v>
      </c>
      <c r="B57" s="29" t="inlineStr">
        <is>
          <t>P-2 Dos Hermanas</t>
        </is>
      </c>
      <c r="C57" s="30" t="n">
        <v>43</v>
      </c>
      <c r="D57" s="29" t="inlineStr">
        <is>
          <t>Operario de MantenT. Y Serv. Tecnico  JB</t>
        </is>
      </c>
      <c r="E57" s="31" t="inlineStr">
        <is>
          <t>XII</t>
        </is>
      </c>
      <c r="F57" s="32" t="n">
        <v>5770</v>
      </c>
    </row>
    <row r="58">
      <c r="A58" s="5" t="n">
        <v>57</v>
      </c>
      <c r="B58" s="26" t="inlineStr">
        <is>
          <t>P-2 Dos Hermanas</t>
        </is>
      </c>
      <c r="C58" s="7" t="n">
        <v>44</v>
      </c>
      <c r="D58" s="26" t="inlineStr">
        <is>
          <t>Chofer vehiculos de carga</t>
        </is>
      </c>
      <c r="E58" s="27" t="inlineStr">
        <is>
          <t>IX</t>
        </is>
      </c>
      <c r="F58" s="28" t="n">
        <v>4666</v>
      </c>
    </row>
    <row r="59">
      <c r="A59" s="5" t="n">
        <v>58</v>
      </c>
      <c r="B59" s="29" t="inlineStr">
        <is>
          <t>P-2 Dos Hermanas</t>
        </is>
      </c>
      <c r="C59" s="30" t="n">
        <v>45</v>
      </c>
      <c r="D59" s="29" t="inlineStr">
        <is>
          <t>Operario LABORES AGROPECUARIAS Y Jardineria</t>
        </is>
      </c>
      <c r="E59" s="31" t="inlineStr">
        <is>
          <t>VIII</t>
        </is>
      </c>
      <c r="F59" s="32" t="n">
        <v>4402</v>
      </c>
    </row>
    <row r="60">
      <c r="A60" s="5" t="n">
        <v>59</v>
      </c>
      <c r="B60" s="26" t="inlineStr">
        <is>
          <t>P-2 Dos Hermanas</t>
        </is>
      </c>
      <c r="C60" s="7" t="n">
        <v>47</v>
      </c>
      <c r="D60" s="26" t="inlineStr">
        <is>
          <t>Jefes de Grupo de Seguridad Interna</t>
        </is>
      </c>
      <c r="E60" s="27" t="inlineStr">
        <is>
          <t>XII</t>
        </is>
      </c>
      <c r="F60" s="28" t="n">
        <v>5770</v>
      </c>
    </row>
    <row r="61">
      <c r="A61" s="5" t="n">
        <v>60</v>
      </c>
      <c r="B61" s="29" t="inlineStr">
        <is>
          <t>P-2 Dos Hermanas</t>
        </is>
      </c>
      <c r="C61" s="30" t="n">
        <v>48</v>
      </c>
      <c r="D61" s="29" t="inlineStr">
        <is>
          <t>Agente Seguridad y Protección</t>
        </is>
      </c>
      <c r="E61" s="31" t="inlineStr">
        <is>
          <t>VIII</t>
        </is>
      </c>
      <c r="F61" s="32" t="n">
        <v>4402</v>
      </c>
    </row>
    <row r="62">
      <c r="A62" s="5" t="n">
        <v>61</v>
      </c>
      <c r="B62" s="26" t="inlineStr">
        <is>
          <t>Laguna Grande</t>
        </is>
      </c>
      <c r="C62" s="7" t="n">
        <v>24</v>
      </c>
      <c r="D62" s="26" t="inlineStr">
        <is>
          <t>Director de las Instalaciones y/o los Complejos</t>
        </is>
      </c>
      <c r="E62" s="27" t="inlineStr">
        <is>
          <t>XV</t>
        </is>
      </c>
      <c r="F62" s="28" t="n">
        <v>7201</v>
      </c>
    </row>
    <row r="63">
      <c r="A63" s="5" t="n">
        <v>62</v>
      </c>
      <c r="B63" s="29" t="inlineStr">
        <is>
          <t>Laguna Grande</t>
        </is>
      </c>
      <c r="C63" s="30" t="n">
        <v>25</v>
      </c>
      <c r="D63" s="29" t="inlineStr">
        <is>
          <t>Sub Director Asistente</t>
        </is>
      </c>
      <c r="E63" s="31" t="inlineStr">
        <is>
          <t>XIV</t>
        </is>
      </c>
      <c r="F63" s="32" t="n">
        <v>6668</v>
      </c>
    </row>
    <row r="64">
      <c r="A64" s="5" t="n">
        <v>63</v>
      </c>
      <c r="B64" s="26" t="inlineStr">
        <is>
          <t>Laguna Grande</t>
        </is>
      </c>
      <c r="C64" s="7" t="n">
        <v>26</v>
      </c>
      <c r="D64" s="26" t="inlineStr">
        <is>
          <t>Tecnico  en Gestión de Capital Humanos</t>
        </is>
      </c>
      <c r="E64" s="27" t="inlineStr">
        <is>
          <t>XI</t>
        </is>
      </c>
      <c r="F64" s="28" t="n">
        <v>5343</v>
      </c>
    </row>
    <row r="65">
      <c r="A65" s="5" t="n">
        <v>64</v>
      </c>
      <c r="B65" s="29" t="inlineStr">
        <is>
          <t>Laguna Grande</t>
        </is>
      </c>
      <c r="C65" s="30" t="n">
        <v>27</v>
      </c>
      <c r="D65" s="29" t="inlineStr">
        <is>
          <t>Tecnico de Recreacion y Animacion</t>
        </is>
      </c>
      <c r="E65" s="31" t="inlineStr">
        <is>
          <t>IX</t>
        </is>
      </c>
      <c r="F65" s="32" t="n">
        <v>4666</v>
      </c>
    </row>
    <row r="66">
      <c r="A66" s="5" t="n">
        <v>65</v>
      </c>
      <c r="B66" s="26" t="inlineStr">
        <is>
          <t>Laguna Grande</t>
        </is>
      </c>
      <c r="C66" s="7" t="n">
        <v>29</v>
      </c>
      <c r="D66" s="26" t="inlineStr">
        <is>
          <t>Especialista en Gestion   Económica</t>
        </is>
      </c>
      <c r="E66" s="27" t="inlineStr">
        <is>
          <t>XIII</t>
        </is>
      </c>
      <c r="F66" s="28" t="n">
        <v>6174</v>
      </c>
    </row>
    <row r="67">
      <c r="A67" s="5" t="n">
        <v>66</v>
      </c>
      <c r="B67" s="29" t="inlineStr">
        <is>
          <t>Laguna Grande</t>
        </is>
      </c>
      <c r="C67" s="30" t="n">
        <v>30</v>
      </c>
      <c r="D67" s="29" t="inlineStr">
        <is>
          <t>Técnico  en Gestión Económica</t>
        </is>
      </c>
      <c r="E67" s="31" t="inlineStr">
        <is>
          <t>XI</t>
        </is>
      </c>
      <c r="F67" s="32" t="n">
        <v>5343</v>
      </c>
    </row>
    <row r="68">
      <c r="A68" s="5" t="n">
        <v>67</v>
      </c>
      <c r="B68" s="26" t="inlineStr">
        <is>
          <t>Laguna Grande</t>
        </is>
      </c>
      <c r="C68" s="7" t="n">
        <v>32</v>
      </c>
      <c r="D68" s="26" t="inlineStr">
        <is>
          <t>Dependiente Gastronomico</t>
        </is>
      </c>
      <c r="E68" s="27" t="inlineStr">
        <is>
          <t>IX</t>
        </is>
      </c>
      <c r="F68" s="28" t="n">
        <v>4666</v>
      </c>
    </row>
    <row r="69">
      <c r="A69" s="5" t="n">
        <v>68</v>
      </c>
      <c r="B69" s="29" t="inlineStr">
        <is>
          <t>Laguna Grande</t>
        </is>
      </c>
      <c r="C69" s="30" t="n">
        <v>33</v>
      </c>
      <c r="D69" s="29" t="inlineStr">
        <is>
          <t>Nivel Medio</t>
        </is>
      </c>
      <c r="E69" s="31" t="inlineStr">
        <is>
          <t>X</t>
        </is>
      </c>
      <c r="F69" s="32" t="n">
        <v>4993</v>
      </c>
    </row>
    <row r="70">
      <c r="A70" s="5" t="n">
        <v>69</v>
      </c>
      <c r="B70" s="26" t="inlineStr">
        <is>
          <t>Laguna Grande</t>
        </is>
      </c>
      <c r="C70" s="7" t="n">
        <v>34</v>
      </c>
      <c r="D70" s="26" t="inlineStr">
        <is>
          <t>Ayudante de Cocina</t>
        </is>
      </c>
      <c r="E70" s="27" t="inlineStr">
        <is>
          <t>VIII</t>
        </is>
      </c>
      <c r="F70" s="28" t="n">
        <v>4402</v>
      </c>
    </row>
    <row r="71">
      <c r="A71" s="5" t="n">
        <v>70</v>
      </c>
      <c r="B71" s="29" t="inlineStr">
        <is>
          <t>Laguna Grande</t>
        </is>
      </c>
      <c r="C71" s="30" t="n">
        <v>36</v>
      </c>
      <c r="D71" s="29" t="inlineStr">
        <is>
          <t>Recepcionista Hotelero</t>
        </is>
      </c>
      <c r="E71" s="31" t="inlineStr">
        <is>
          <t>IX</t>
        </is>
      </c>
      <c r="F71" s="32" t="n">
        <v>4666</v>
      </c>
    </row>
    <row r="72">
      <c r="A72" s="5" t="n">
        <v>71</v>
      </c>
      <c r="B72" s="26" t="inlineStr">
        <is>
          <t>Laguna Grande</t>
        </is>
      </c>
      <c r="C72" s="7" t="n">
        <v>37</v>
      </c>
      <c r="D72" s="26" t="inlineStr">
        <is>
          <t>Camarera de Habitaciones</t>
        </is>
      </c>
      <c r="E72" s="27" t="inlineStr">
        <is>
          <t>IX</t>
        </is>
      </c>
      <c r="F72" s="28" t="n">
        <v>4666</v>
      </c>
    </row>
    <row r="73">
      <c r="A73" s="5" t="n">
        <v>72</v>
      </c>
      <c r="B73" s="29" t="inlineStr">
        <is>
          <t>Laguna Grande</t>
        </is>
      </c>
      <c r="C73" s="30" t="n">
        <v>38</v>
      </c>
      <c r="D73" s="29" t="inlineStr">
        <is>
          <t>Nivel Medio Superior</t>
        </is>
      </c>
      <c r="E73" s="31" t="inlineStr">
        <is>
          <t>VI</t>
        </is>
      </c>
      <c r="F73" s="32" t="n">
        <v>3918</v>
      </c>
    </row>
    <row r="74">
      <c r="A74" s="5" t="n">
        <v>73</v>
      </c>
      <c r="B74" s="26" t="inlineStr">
        <is>
          <t>Laguna Grande</t>
        </is>
      </c>
      <c r="C74" s="7" t="n">
        <v>40</v>
      </c>
      <c r="D74" s="26" t="inlineStr">
        <is>
          <t>Encargado de Almacèn</t>
        </is>
      </c>
      <c r="E74" s="27" t="inlineStr">
        <is>
          <t>VI</t>
        </is>
      </c>
      <c r="F74" s="28" t="n">
        <v>3918</v>
      </c>
    </row>
    <row r="75">
      <c r="A75" s="5" t="n">
        <v>74</v>
      </c>
      <c r="B75" s="29" t="inlineStr">
        <is>
          <t>Laguna Grande</t>
        </is>
      </c>
      <c r="C75" s="30" t="n">
        <v>41</v>
      </c>
      <c r="D75" s="29" t="inlineStr">
        <is>
          <t>Operario de Mantenimiento Y SERV. TECNICOS</t>
        </is>
      </c>
      <c r="E75" s="31" t="inlineStr">
        <is>
          <t>VII</t>
        </is>
      </c>
      <c r="F75" s="32" t="n">
        <v>4153</v>
      </c>
    </row>
    <row r="76">
      <c r="A76" s="5" t="n">
        <v>75</v>
      </c>
      <c r="B76" s="26" t="inlineStr">
        <is>
          <t>Laguna Grande</t>
        </is>
      </c>
      <c r="C76" s="7" t="n">
        <v>42</v>
      </c>
      <c r="D76" s="26" t="inlineStr">
        <is>
          <t>Chofer Vehiculos carga</t>
        </is>
      </c>
      <c r="E76" s="27" t="inlineStr">
        <is>
          <t>IX</t>
        </is>
      </c>
      <c r="F76" s="28" t="n">
        <v>4666</v>
      </c>
    </row>
    <row r="77">
      <c r="A77" s="5" t="n">
        <v>76</v>
      </c>
      <c r="B77" s="29" t="inlineStr">
        <is>
          <t>Laguna Grande</t>
        </is>
      </c>
      <c r="C77" s="30" t="n">
        <v>44</v>
      </c>
      <c r="D77" s="29" t="inlineStr">
        <is>
          <t>Jefe Grupo Seg. Interna</t>
        </is>
      </c>
      <c r="E77" s="31" t="inlineStr">
        <is>
          <t>XII</t>
        </is>
      </c>
      <c r="F77" s="32" t="n">
        <v>5770</v>
      </c>
    </row>
    <row r="78">
      <c r="A78" s="5" t="n">
        <v>77</v>
      </c>
      <c r="B78" s="26" t="inlineStr">
        <is>
          <t>Laguna Grande</t>
        </is>
      </c>
      <c r="C78" s="7" t="n">
        <v>45</v>
      </c>
      <c r="D78" s="26" t="inlineStr">
        <is>
          <t>Agente de Seguridad y Protección</t>
        </is>
      </c>
      <c r="E78" s="27" t="inlineStr">
        <is>
          <t>VIII</t>
        </is>
      </c>
      <c r="F78" s="28" t="n">
        <v>4402</v>
      </c>
    </row>
    <row r="79">
      <c r="A79" s="5" t="n">
        <v>78</v>
      </c>
      <c r="B79" s="29" t="inlineStr">
        <is>
          <t>P-2  Aguas Claras</t>
        </is>
      </c>
      <c r="C79" s="30" t="n">
        <v>19</v>
      </c>
      <c r="D79" s="29" t="inlineStr">
        <is>
          <t>Director de las Instalaciones y/o los Complejos</t>
        </is>
      </c>
      <c r="E79" s="31" t="inlineStr">
        <is>
          <t>XV</t>
        </is>
      </c>
      <c r="F79" s="32" t="n">
        <v>7201</v>
      </c>
    </row>
    <row r="80">
      <c r="A80" s="5" t="n">
        <v>79</v>
      </c>
      <c r="B80" s="26" t="inlineStr">
        <is>
          <t>P-2  Aguas Claras</t>
        </is>
      </c>
      <c r="C80" s="7" t="n">
        <v>20</v>
      </c>
      <c r="D80" s="26" t="inlineStr">
        <is>
          <t>Sub Director Asistente</t>
        </is>
      </c>
      <c r="E80" s="27" t="inlineStr">
        <is>
          <t>XIV</t>
        </is>
      </c>
      <c r="F80" s="28" t="n">
        <v>6668</v>
      </c>
    </row>
    <row r="81">
      <c r="A81" s="5" t="n">
        <v>80</v>
      </c>
      <c r="B81" s="29" t="inlineStr">
        <is>
          <t>P-2  Aguas Claras</t>
        </is>
      </c>
      <c r="C81" s="30" t="n">
        <v>21</v>
      </c>
      <c r="D81" s="29" t="inlineStr">
        <is>
          <t>Especialista en Gestion de Capital Humanos</t>
        </is>
      </c>
      <c r="E81" s="31" t="inlineStr">
        <is>
          <t>XIII</t>
        </is>
      </c>
      <c r="F81" s="32" t="n">
        <v>6174</v>
      </c>
    </row>
    <row r="82">
      <c r="A82" s="5" t="n">
        <v>81</v>
      </c>
      <c r="B82" s="26" t="inlineStr">
        <is>
          <t>P-2  Aguas Claras</t>
        </is>
      </c>
      <c r="C82" s="7" t="n">
        <v>23</v>
      </c>
      <c r="D82" s="26" t="inlineStr">
        <is>
          <t>Especialista en Gestion Economica (EP)</t>
        </is>
      </c>
      <c r="E82" s="27" t="inlineStr">
        <is>
          <t>XIV</t>
        </is>
      </c>
      <c r="F82" s="28" t="n">
        <v>6668</v>
      </c>
    </row>
    <row r="83">
      <c r="A83" s="5" t="n">
        <v>82</v>
      </c>
      <c r="B83" s="29" t="inlineStr">
        <is>
          <t>P-2  Aguas Claras</t>
        </is>
      </c>
      <c r="C83" s="30" t="n">
        <v>24</v>
      </c>
      <c r="D83" s="29" t="inlineStr">
        <is>
          <t>Tècnico  en Gestiòn Econòmica</t>
        </is>
      </c>
      <c r="E83" s="31" t="inlineStr">
        <is>
          <t>XI</t>
        </is>
      </c>
      <c r="F83" s="32" t="n">
        <v>5343</v>
      </c>
    </row>
    <row r="84">
      <c r="A84" s="5" t="n">
        <v>83</v>
      </c>
      <c r="B84" s="26" t="inlineStr">
        <is>
          <t>P-2  Aguas Claras</t>
        </is>
      </c>
      <c r="C84" s="7" t="n">
        <v>26</v>
      </c>
      <c r="D84" s="26" t="inlineStr">
        <is>
          <t>Capitàn de SALÓN</t>
        </is>
      </c>
      <c r="E84" s="27" t="inlineStr">
        <is>
          <t>XI</t>
        </is>
      </c>
      <c r="F84" s="28" t="n">
        <v>5343</v>
      </c>
    </row>
    <row r="85">
      <c r="A85" s="5" t="n">
        <v>84</v>
      </c>
      <c r="B85" s="29" t="inlineStr">
        <is>
          <t>P-2  Aguas Claras</t>
        </is>
      </c>
      <c r="C85" s="30" t="n">
        <v>27</v>
      </c>
      <c r="D85" s="29" t="inlineStr">
        <is>
          <t>Dependiente  GastronomicoJB</t>
        </is>
      </c>
      <c r="E85" s="31" t="inlineStr">
        <is>
          <t>XII</t>
        </is>
      </c>
      <c r="F85" s="32" t="n">
        <v>5770</v>
      </c>
    </row>
    <row r="86">
      <c r="A86" s="5" t="n">
        <v>85</v>
      </c>
      <c r="B86" s="26" t="inlineStr">
        <is>
          <t>P-2  Aguas Claras</t>
        </is>
      </c>
      <c r="C86" s="7" t="n">
        <v>28</v>
      </c>
      <c r="D86" s="26" t="inlineStr">
        <is>
          <t>Dependiente  Gastronomico</t>
        </is>
      </c>
      <c r="E86" s="27" t="inlineStr">
        <is>
          <t>IX</t>
        </is>
      </c>
      <c r="F86" s="28" t="n">
        <v>4666</v>
      </c>
    </row>
    <row r="87">
      <c r="A87" s="5" t="n">
        <v>86</v>
      </c>
      <c r="B87" s="29" t="inlineStr">
        <is>
          <t>P-2  Aguas Claras</t>
        </is>
      </c>
      <c r="C87" s="30" t="n">
        <v>29</v>
      </c>
      <c r="D87" s="29" t="inlineStr">
        <is>
          <t>Panadero Dulcero</t>
        </is>
      </c>
      <c r="E87" s="31" t="inlineStr">
        <is>
          <t>X</t>
        </is>
      </c>
      <c r="F87" s="32" t="n">
        <v>4993</v>
      </c>
    </row>
    <row r="88">
      <c r="A88" s="5" t="n">
        <v>87</v>
      </c>
      <c r="B88" s="26" t="inlineStr">
        <is>
          <t>P-2  Aguas Claras</t>
        </is>
      </c>
      <c r="C88" s="7" t="n">
        <v>30</v>
      </c>
      <c r="D88" s="26" t="inlineStr">
        <is>
          <t>Cocinero</t>
        </is>
      </c>
      <c r="E88" s="27" t="inlineStr">
        <is>
          <t>X</t>
        </is>
      </c>
      <c r="F88" s="28" t="n">
        <v>4993</v>
      </c>
    </row>
    <row r="89">
      <c r="A89" s="5" t="n">
        <v>88</v>
      </c>
      <c r="B89" s="29" t="inlineStr">
        <is>
          <t>P-2  Aguas Claras</t>
        </is>
      </c>
      <c r="C89" s="30" t="n">
        <v>31</v>
      </c>
      <c r="D89" s="29" t="inlineStr">
        <is>
          <t>Ayudante  de Cocina</t>
        </is>
      </c>
      <c r="E89" s="31" t="inlineStr">
        <is>
          <t>VIII</t>
        </is>
      </c>
      <c r="F89" s="32" t="n">
        <v>4402</v>
      </c>
    </row>
    <row r="90">
      <c r="A90" s="5" t="n">
        <v>89</v>
      </c>
      <c r="B90" s="26" t="inlineStr">
        <is>
          <t>P-2  Aguas Claras</t>
        </is>
      </c>
      <c r="C90" s="7" t="n">
        <v>33</v>
      </c>
      <c r="D90" s="26" t="inlineStr">
        <is>
          <t>Recepcionista Hotelero JB</t>
        </is>
      </c>
      <c r="E90" s="27" t="inlineStr">
        <is>
          <t>XII</t>
        </is>
      </c>
      <c r="F90" s="28" t="n">
        <v>5770</v>
      </c>
    </row>
    <row r="91">
      <c r="A91" s="5" t="n">
        <v>90</v>
      </c>
      <c r="B91" s="29" t="inlineStr">
        <is>
          <t>P-2  Aguas Claras</t>
        </is>
      </c>
      <c r="C91" s="30" t="n">
        <v>34</v>
      </c>
      <c r="D91" s="29" t="inlineStr">
        <is>
          <t>Recepcionista Hotelero</t>
        </is>
      </c>
      <c r="E91" s="31" t="inlineStr">
        <is>
          <t>IX</t>
        </is>
      </c>
      <c r="F91" s="32" t="n">
        <v>4666</v>
      </c>
    </row>
    <row r="92">
      <c r="A92" s="5" t="n">
        <v>91</v>
      </c>
      <c r="B92" s="26" t="inlineStr">
        <is>
          <t>P-2  Aguas Claras</t>
        </is>
      </c>
      <c r="C92" s="7" t="n">
        <v>35</v>
      </c>
      <c r="D92" s="26" t="inlineStr">
        <is>
          <t>Camarera de Habitaciones JB</t>
        </is>
      </c>
      <c r="E92" s="27" t="inlineStr">
        <is>
          <t>XII</t>
        </is>
      </c>
      <c r="F92" s="28" t="n">
        <v>5770</v>
      </c>
    </row>
    <row r="93">
      <c r="A93" s="5" t="n">
        <v>92</v>
      </c>
      <c r="B93" s="29" t="inlineStr">
        <is>
          <t>P-2  Aguas Claras</t>
        </is>
      </c>
      <c r="C93" s="30" t="n">
        <v>36</v>
      </c>
      <c r="D93" s="29" t="inlineStr">
        <is>
          <t>Camarera de Habitaciones</t>
        </is>
      </c>
      <c r="E93" s="31" t="inlineStr">
        <is>
          <t>IX</t>
        </is>
      </c>
      <c r="F93" s="32" t="n">
        <v>4666</v>
      </c>
    </row>
    <row r="94">
      <c r="A94" s="5" t="n">
        <v>93</v>
      </c>
      <c r="B94" s="26" t="inlineStr">
        <is>
          <t>P-2  Aguas Claras</t>
        </is>
      </c>
      <c r="C94" s="7" t="n">
        <v>37</v>
      </c>
      <c r="D94" s="26" t="inlineStr">
        <is>
          <t>Limpiadora de Areas Publicas para Centros Turisticos</t>
        </is>
      </c>
      <c r="E94" s="27" t="inlineStr">
        <is>
          <t>VII</t>
        </is>
      </c>
      <c r="F94" s="28" t="n">
        <v>4153</v>
      </c>
    </row>
    <row r="95">
      <c r="A95" s="5" t="n">
        <v>94</v>
      </c>
      <c r="B95" s="29" t="inlineStr">
        <is>
          <t>P-2  Aguas Claras</t>
        </is>
      </c>
      <c r="C95" s="30" t="n">
        <v>39</v>
      </c>
      <c r="D95" s="29" t="inlineStr">
        <is>
          <t>Tècnico en  Recreación y Animación</t>
        </is>
      </c>
      <c r="E95" s="31" t="inlineStr">
        <is>
          <t>IX</t>
        </is>
      </c>
      <c r="F95" s="32" t="n">
        <v>4666</v>
      </c>
    </row>
    <row r="96">
      <c r="A96" s="5" t="n">
        <v>95</v>
      </c>
      <c r="B96" s="26" t="inlineStr">
        <is>
          <t>P-2  Aguas Claras</t>
        </is>
      </c>
      <c r="C96" s="7" t="n">
        <v>41</v>
      </c>
      <c r="D96" s="26" t="inlineStr">
        <is>
          <t>Operario de Mant. Y serv. Tecn.</t>
        </is>
      </c>
      <c r="E96" s="27" t="inlineStr">
        <is>
          <t>VII</t>
        </is>
      </c>
      <c r="F96" s="28" t="n">
        <v>4153</v>
      </c>
    </row>
    <row r="97">
      <c r="A97" s="5" t="n">
        <v>96</v>
      </c>
      <c r="B97" s="29" t="inlineStr">
        <is>
          <t>P-2  Aguas Claras</t>
        </is>
      </c>
      <c r="C97" s="30" t="n">
        <v>42</v>
      </c>
      <c r="D97" s="29" t="inlineStr">
        <is>
          <t>Encargado de Almacèn</t>
        </is>
      </c>
      <c r="E97" s="31" t="inlineStr">
        <is>
          <t>VI</t>
        </is>
      </c>
      <c r="F97" s="32" t="n">
        <v>3918</v>
      </c>
    </row>
    <row r="98">
      <c r="A98" s="5" t="n">
        <v>97</v>
      </c>
      <c r="B98" s="26" t="inlineStr">
        <is>
          <t>P-2  Aguas Claras</t>
        </is>
      </c>
      <c r="C98" s="7" t="n">
        <v>44</v>
      </c>
      <c r="D98" s="26" t="inlineStr">
        <is>
          <t>Jefes de Grupo de Seguridad Interna</t>
        </is>
      </c>
      <c r="E98" s="27" t="inlineStr">
        <is>
          <t>XII</t>
        </is>
      </c>
      <c r="F98" s="28" t="n">
        <v>5570</v>
      </c>
    </row>
    <row r="99">
      <c r="A99" s="5" t="n">
        <v>98</v>
      </c>
      <c r="B99" s="29" t="inlineStr">
        <is>
          <t>P-2  Aguas Claras</t>
        </is>
      </c>
      <c r="C99" s="30" t="n">
        <v>45</v>
      </c>
      <c r="D99" s="29" t="inlineStr">
        <is>
          <t>Agente de Seguridad y Protecciòn</t>
        </is>
      </c>
      <c r="E99" s="31" t="inlineStr">
        <is>
          <t>VIII</t>
        </is>
      </c>
      <c r="F99" s="32" t="n">
        <v>4402</v>
      </c>
    </row>
    <row r="100">
      <c r="A100" s="5" t="n">
        <v>99</v>
      </c>
      <c r="B100" s="26" t="inlineStr">
        <is>
          <t>P-2 CUEVA LOS PORTALES</t>
        </is>
      </c>
      <c r="C100" s="7" t="n">
        <v>24</v>
      </c>
      <c r="D100" s="26" t="inlineStr">
        <is>
          <t>Director de las Instalaciones y/o los Complejos</t>
        </is>
      </c>
      <c r="E100" s="27" t="inlineStr">
        <is>
          <t>XV</t>
        </is>
      </c>
      <c r="F100" s="28" t="n">
        <v>7201</v>
      </c>
    </row>
    <row r="101">
      <c r="A101" s="5" t="n">
        <v>100</v>
      </c>
      <c r="B101" s="29" t="inlineStr">
        <is>
          <t>P-2 CUEVA LOS PORTALES</t>
        </is>
      </c>
      <c r="C101" s="30" t="n">
        <v>26</v>
      </c>
      <c r="D101" s="29" t="inlineStr">
        <is>
          <t>Sub Dtor Asistente Servicios y Calidad</t>
        </is>
      </c>
      <c r="E101" s="31" t="inlineStr">
        <is>
          <t>XIV</t>
        </is>
      </c>
      <c r="F101" s="32" t="n">
        <v>6668</v>
      </c>
    </row>
    <row r="102">
      <c r="A102" s="5" t="n">
        <v>101</v>
      </c>
      <c r="B102" s="26" t="inlineStr">
        <is>
          <t>P-2 CUEVA LOS PORTALES</t>
        </is>
      </c>
      <c r="C102" s="7" t="n">
        <v>27</v>
      </c>
      <c r="D102" s="26" t="inlineStr">
        <is>
          <t>Chofer vehiculos ligeros</t>
        </is>
      </c>
      <c r="E102" s="27" t="inlineStr">
        <is>
          <t>VIII</t>
        </is>
      </c>
      <c r="F102" s="28" t="n">
        <v>4402</v>
      </c>
    </row>
    <row r="103">
      <c r="A103" s="5" t="n">
        <v>102</v>
      </c>
      <c r="B103" s="29" t="inlineStr">
        <is>
          <t>P-2 CUEVA LOS PORTALES</t>
        </is>
      </c>
      <c r="C103" s="30" t="n">
        <v>28</v>
      </c>
      <c r="D103" s="29" t="inlineStr">
        <is>
          <t>Tecnico  en Gestion de Capital  Humanos</t>
        </is>
      </c>
      <c r="E103" s="31" t="inlineStr">
        <is>
          <t>XI</t>
        </is>
      </c>
      <c r="F103" s="32" t="n">
        <v>5343</v>
      </c>
    </row>
    <row r="104">
      <c r="A104" s="5" t="n">
        <v>103</v>
      </c>
      <c r="B104" s="26" t="inlineStr">
        <is>
          <t>P-2 CUEVA LOS PORTALES</t>
        </is>
      </c>
      <c r="C104" s="7" t="n">
        <v>29</v>
      </c>
      <c r="D104" s="26" t="inlineStr">
        <is>
          <t>Operario labores agropec. Y jardineria</t>
        </is>
      </c>
      <c r="E104" s="27" t="inlineStr">
        <is>
          <t>VIII</t>
        </is>
      </c>
      <c r="F104" s="28" t="n">
        <v>4402</v>
      </c>
    </row>
    <row r="105">
      <c r="A105" s="5" t="n">
        <v>104</v>
      </c>
      <c r="B105" s="29" t="inlineStr">
        <is>
          <t>P-2 CUEVA LOS PORTALES</t>
        </is>
      </c>
      <c r="C105" s="30" t="n">
        <v>31</v>
      </c>
      <c r="D105" s="29" t="inlineStr">
        <is>
          <t>Técnico en Gestión Económica</t>
        </is>
      </c>
      <c r="E105" s="31" t="inlineStr">
        <is>
          <t>XI</t>
        </is>
      </c>
      <c r="F105" s="32" t="n">
        <v>5343</v>
      </c>
    </row>
    <row r="106">
      <c r="A106" s="5" t="n">
        <v>105</v>
      </c>
      <c r="B106" s="26" t="inlineStr">
        <is>
          <t>P-2 CUEVA LOS PORTALES</t>
        </is>
      </c>
      <c r="C106" s="7" t="n">
        <v>33</v>
      </c>
      <c r="D106" s="26" t="inlineStr">
        <is>
          <t>Dependiente  GastronomIco</t>
        </is>
      </c>
      <c r="E106" s="27" t="inlineStr">
        <is>
          <t>IX</t>
        </is>
      </c>
      <c r="F106" s="28" t="n">
        <v>4666</v>
      </c>
    </row>
    <row r="107">
      <c r="A107" s="5" t="n">
        <v>106</v>
      </c>
      <c r="B107" s="29" t="inlineStr">
        <is>
          <t>P-2 CUEVA LOS PORTALES</t>
        </is>
      </c>
      <c r="C107" s="30" t="n">
        <v>34</v>
      </c>
      <c r="D107" s="29" t="inlineStr">
        <is>
          <t>Nivel Medio Superior</t>
        </is>
      </c>
      <c r="E107" s="31" t="inlineStr">
        <is>
          <t>X</t>
        </is>
      </c>
      <c r="F107" s="32" t="n">
        <v>4993</v>
      </c>
    </row>
    <row r="108">
      <c r="A108" s="5" t="n">
        <v>107</v>
      </c>
      <c r="B108" s="26" t="inlineStr">
        <is>
          <t>P-2 CUEVA LOS PORTALES</t>
        </is>
      </c>
      <c r="C108" s="7" t="n">
        <v>35</v>
      </c>
      <c r="D108" s="26" t="inlineStr">
        <is>
          <t>Elaborador de Alimentos</t>
        </is>
      </c>
      <c r="E108" s="27" t="inlineStr">
        <is>
          <t>IX</t>
        </is>
      </c>
      <c r="F108" s="28" t="n">
        <v>4666</v>
      </c>
    </row>
    <row r="109">
      <c r="A109" s="5" t="n">
        <v>108</v>
      </c>
      <c r="B109" s="29" t="inlineStr">
        <is>
          <t>P-2 CUEVA LOS PORTALES</t>
        </is>
      </c>
      <c r="C109" s="30" t="n">
        <v>37</v>
      </c>
      <c r="D109" s="29" t="inlineStr">
        <is>
          <t>Recepcionista Hotelero</t>
        </is>
      </c>
      <c r="E109" s="31" t="inlineStr">
        <is>
          <t>IX</t>
        </is>
      </c>
      <c r="F109" s="32" t="n">
        <v>4666</v>
      </c>
    </row>
    <row r="110">
      <c r="A110" s="5" t="n">
        <v>109</v>
      </c>
      <c r="B110" s="26" t="inlineStr">
        <is>
          <t>P-2 CUEVA LOS PORTALES</t>
        </is>
      </c>
      <c r="C110" s="7" t="n">
        <v>38</v>
      </c>
      <c r="D110" s="26" t="inlineStr">
        <is>
          <t>Camarera de Habitaciones</t>
        </is>
      </c>
      <c r="E110" s="27" t="inlineStr">
        <is>
          <t>IX</t>
        </is>
      </c>
      <c r="F110" s="28" t="n">
        <v>4666</v>
      </c>
    </row>
    <row r="111">
      <c r="A111" s="5" t="n">
        <v>110</v>
      </c>
      <c r="B111" s="29" t="inlineStr">
        <is>
          <t>P-2 CUEVA LOS PORTALES</t>
        </is>
      </c>
      <c r="C111" s="30" t="n">
        <v>39</v>
      </c>
      <c r="D111" s="29" t="inlineStr">
        <is>
          <t>Técnico en Recreación y animación</t>
        </is>
      </c>
      <c r="E111" s="31" t="inlineStr">
        <is>
          <t>IX</t>
        </is>
      </c>
      <c r="F111" s="32" t="n">
        <v>4666</v>
      </c>
    </row>
    <row r="112">
      <c r="A112" s="5" t="n">
        <v>111</v>
      </c>
      <c r="B112" s="26" t="inlineStr">
        <is>
          <t>P-2 CUEVA LOS PORTALES</t>
        </is>
      </c>
      <c r="C112" s="7" t="n">
        <v>41</v>
      </c>
      <c r="D112" s="26" t="inlineStr">
        <is>
          <t>Encargado de Almacén</t>
        </is>
      </c>
      <c r="E112" s="27" t="inlineStr">
        <is>
          <t>VI</t>
        </is>
      </c>
      <c r="F112" s="28" t="n">
        <v>3918</v>
      </c>
    </row>
    <row r="113">
      <c r="A113" s="5" t="n">
        <v>112</v>
      </c>
      <c r="B113" s="29" t="inlineStr">
        <is>
          <t>P-2 CUEVA LOS PORTALES</t>
        </is>
      </c>
      <c r="C113" s="30" t="n">
        <v>42</v>
      </c>
      <c r="D113" s="29" t="inlineStr">
        <is>
          <t>Operario de Mante. Y Serv. Tecn.</t>
        </is>
      </c>
      <c r="E113" s="31" t="inlineStr">
        <is>
          <t>VII</t>
        </is>
      </c>
      <c r="F113" s="32" t="n">
        <v>4153</v>
      </c>
    </row>
    <row r="114">
      <c r="A114" s="5" t="n">
        <v>113</v>
      </c>
      <c r="B114" s="26" t="inlineStr">
        <is>
          <t>P-2 CUEVA LOS PORTALES</t>
        </is>
      </c>
      <c r="C114" s="7" t="n">
        <v>43</v>
      </c>
      <c r="D114" s="26" t="inlineStr">
        <is>
          <t>Chofer vehiculos de carga</t>
        </is>
      </c>
      <c r="E114" s="27" t="inlineStr">
        <is>
          <t>IX</t>
        </is>
      </c>
      <c r="F114" s="28" t="n">
        <v>4666</v>
      </c>
    </row>
    <row r="115">
      <c r="A115" s="5" t="n">
        <v>114</v>
      </c>
      <c r="B115" s="29" t="inlineStr">
        <is>
          <t>P-2 CUEVA LOS PORTALES</t>
        </is>
      </c>
      <c r="C115" s="30" t="n">
        <v>45</v>
      </c>
      <c r="D115" s="29" t="inlineStr">
        <is>
          <t>Agente de Seguridad y Protección</t>
        </is>
      </c>
      <c r="E115" s="31" t="inlineStr">
        <is>
          <t>VIII</t>
        </is>
      </c>
      <c r="F115" s="32" t="n">
        <v>4402</v>
      </c>
    </row>
    <row r="116">
      <c r="A116" s="5" t="n">
        <v>115</v>
      </c>
      <c r="B116" s="26" t="inlineStr">
        <is>
          <t>P-2 SALTO LOS PORTALES</t>
        </is>
      </c>
      <c r="C116" s="7" t="n">
        <v>22</v>
      </c>
      <c r="D116" s="26" t="inlineStr">
        <is>
          <t>Director de las Instalaciones y/o los Complejos</t>
        </is>
      </c>
      <c r="E116" s="27" t="inlineStr">
        <is>
          <t>XIV</t>
        </is>
      </c>
      <c r="F116" s="28" t="n">
        <v>6668</v>
      </c>
    </row>
    <row r="117">
      <c r="A117" s="5" t="n">
        <v>116</v>
      </c>
      <c r="B117" s="29" t="inlineStr">
        <is>
          <t>P-2 SALTO LOS PORTALES</t>
        </is>
      </c>
      <c r="C117" s="30" t="n">
        <v>23</v>
      </c>
      <c r="D117" s="29" t="inlineStr">
        <is>
          <t>Subdirector Asistente</t>
        </is>
      </c>
      <c r="E117" s="31" t="inlineStr">
        <is>
          <t>XIII</t>
        </is>
      </c>
      <c r="F117" s="32" t="n">
        <v>6174</v>
      </c>
    </row>
    <row r="118">
      <c r="A118" s="5" t="n">
        <v>117</v>
      </c>
      <c r="B118" s="26" t="inlineStr">
        <is>
          <t>P-2 SALTO LOS PORTALES</t>
        </is>
      </c>
      <c r="C118" s="7" t="n">
        <v>24</v>
      </c>
      <c r="D118" s="26" t="inlineStr">
        <is>
          <t>Técnico  en Gestion de Capital   Humanos</t>
        </is>
      </c>
      <c r="E118" s="27" t="inlineStr">
        <is>
          <t>X</t>
        </is>
      </c>
      <c r="F118" s="28" t="n">
        <v>4993</v>
      </c>
    </row>
    <row r="119">
      <c r="A119" s="5" t="n">
        <v>118</v>
      </c>
      <c r="B119" s="29" t="inlineStr">
        <is>
          <t>P-2 SALTO LOS PORTALES</t>
        </is>
      </c>
      <c r="C119" s="30" t="n">
        <v>26</v>
      </c>
      <c r="D119" s="29" t="inlineStr">
        <is>
          <t>Especialista en Gestion  Economico.</t>
        </is>
      </c>
      <c r="E119" s="31" t="inlineStr">
        <is>
          <t>XII</t>
        </is>
      </c>
      <c r="F119" s="32" t="n">
        <v>5770</v>
      </c>
    </row>
    <row r="120">
      <c r="A120" s="5" t="n">
        <v>119</v>
      </c>
      <c r="B120" s="26" t="inlineStr">
        <is>
          <t>P-2 SALTO LOS PORTALES</t>
        </is>
      </c>
      <c r="C120" s="7" t="n">
        <v>27</v>
      </c>
      <c r="D120" s="26" t="inlineStr">
        <is>
          <t>Tec. Gest. Economica(Cajero)</t>
        </is>
      </c>
      <c r="E120" s="27" t="inlineStr">
        <is>
          <t>X</t>
        </is>
      </c>
      <c r="F120" s="28" t="n">
        <v>4993</v>
      </c>
    </row>
    <row r="121">
      <c r="A121" s="5" t="n">
        <v>120</v>
      </c>
      <c r="B121" s="29" t="inlineStr">
        <is>
          <t>P-2 SALTO LOS PORTALES</t>
        </is>
      </c>
      <c r="C121" s="30" t="n">
        <v>29</v>
      </c>
      <c r="D121" s="29" t="inlineStr">
        <is>
          <t>Jefe de Brigada de los Servicios</t>
        </is>
      </c>
      <c r="E121" s="31" t="inlineStr">
        <is>
          <t>XI</t>
        </is>
      </c>
      <c r="F121" s="32" t="n">
        <v>5343</v>
      </c>
    </row>
    <row r="122">
      <c r="A122" s="5" t="n">
        <v>121</v>
      </c>
      <c r="B122" s="26" t="inlineStr">
        <is>
          <t>P-2 SALTO LOS PORTALES</t>
        </is>
      </c>
      <c r="C122" s="7" t="n">
        <v>30</v>
      </c>
      <c r="D122" s="26" t="inlineStr">
        <is>
          <t>Dependiente Gastronómico</t>
        </is>
      </c>
      <c r="E122" s="27" t="inlineStr">
        <is>
          <t>VIII</t>
        </is>
      </c>
      <c r="F122" s="28" t="n">
        <v>4402</v>
      </c>
    </row>
    <row r="123">
      <c r="A123" s="5" t="n">
        <v>122</v>
      </c>
      <c r="B123" s="29" t="inlineStr">
        <is>
          <t>P-2 SALTO LOS PORTALES</t>
        </is>
      </c>
      <c r="C123" s="30" t="n">
        <v>31</v>
      </c>
      <c r="D123" s="29" t="inlineStr">
        <is>
          <t>Nivel Medio Superior</t>
        </is>
      </c>
      <c r="E123" s="31" t="inlineStr">
        <is>
          <t>X</t>
        </is>
      </c>
      <c r="F123" s="32" t="n">
        <v>4993</v>
      </c>
    </row>
    <row r="124">
      <c r="A124" s="5" t="n">
        <v>123</v>
      </c>
      <c r="B124" s="26" t="inlineStr">
        <is>
          <t>P-2 SALTO LOS PORTALES</t>
        </is>
      </c>
      <c r="C124" s="7" t="n">
        <v>32</v>
      </c>
      <c r="D124" s="26" t="inlineStr">
        <is>
          <t>Nivel Medio</t>
        </is>
      </c>
      <c r="E124" s="27" t="inlineStr">
        <is>
          <t>IX</t>
        </is>
      </c>
      <c r="F124" s="28" t="n">
        <v>4666</v>
      </c>
    </row>
    <row r="125">
      <c r="A125" s="5" t="n">
        <v>124</v>
      </c>
      <c r="B125" s="29" t="inlineStr">
        <is>
          <t>P-2 SALTO LOS PORTALES</t>
        </is>
      </c>
      <c r="C125" s="30" t="n">
        <v>33</v>
      </c>
      <c r="D125" s="29" t="inlineStr">
        <is>
          <t>Elaborador de Alimentos</t>
        </is>
      </c>
      <c r="E125" s="31" t="inlineStr">
        <is>
          <t>VIII</t>
        </is>
      </c>
      <c r="F125" s="32" t="n">
        <v>4402</v>
      </c>
    </row>
    <row r="126">
      <c r="A126" s="5" t="n">
        <v>125</v>
      </c>
      <c r="B126" s="26" t="inlineStr">
        <is>
          <t>P-2 SALTO LOS PORTALES</t>
        </is>
      </c>
      <c r="C126" s="7" t="n">
        <v>34</v>
      </c>
      <c r="D126" s="26" t="inlineStr">
        <is>
          <t>Ayudante de Cocina</t>
        </is>
      </c>
      <c r="E126" s="27" t="inlineStr">
        <is>
          <t>VII</t>
        </is>
      </c>
      <c r="F126" s="28" t="n">
        <v>4153</v>
      </c>
    </row>
    <row r="127">
      <c r="A127" s="5" t="n">
        <v>126</v>
      </c>
      <c r="B127" s="29" t="inlineStr">
        <is>
          <t>P-2 SALTO LOS PORTALES</t>
        </is>
      </c>
      <c r="C127" s="30" t="n">
        <v>36</v>
      </c>
      <c r="D127" s="29" t="inlineStr">
        <is>
          <t>Recepcionista Hotelero</t>
        </is>
      </c>
      <c r="E127" s="31" t="inlineStr">
        <is>
          <t>VIII</t>
        </is>
      </c>
      <c r="F127" s="32" t="n">
        <v>4402</v>
      </c>
    </row>
    <row r="128">
      <c r="A128" s="5" t="n">
        <v>127</v>
      </c>
      <c r="B128" s="26" t="inlineStr">
        <is>
          <t>P-2 SALTO LOS PORTALES</t>
        </is>
      </c>
      <c r="C128" s="7" t="n">
        <v>37</v>
      </c>
      <c r="D128" s="26" t="inlineStr">
        <is>
          <t>Camarera de Habitaciones</t>
        </is>
      </c>
      <c r="E128" s="27" t="inlineStr">
        <is>
          <t>VIII</t>
        </is>
      </c>
      <c r="F128" s="28" t="n">
        <v>4402</v>
      </c>
    </row>
    <row r="129">
      <c r="A129" s="5" t="n">
        <v>128</v>
      </c>
      <c r="B129" s="29" t="inlineStr">
        <is>
          <t>P-2 SALTO LOS PORTALES</t>
        </is>
      </c>
      <c r="C129" s="30" t="n">
        <v>38</v>
      </c>
      <c r="D129" s="29" t="inlineStr">
        <is>
          <t>Técnico en Recreación y Animación</t>
        </is>
      </c>
      <c r="E129" s="31" t="inlineStr">
        <is>
          <t>VIII</t>
        </is>
      </c>
      <c r="F129" s="32" t="n">
        <v>4402</v>
      </c>
    </row>
    <row r="130">
      <c r="A130" s="5" t="n">
        <v>129</v>
      </c>
      <c r="B130" s="26" t="inlineStr">
        <is>
          <t>P-2 SALTO LOS PORTALES</t>
        </is>
      </c>
      <c r="C130" s="7" t="n">
        <v>40</v>
      </c>
      <c r="D130" s="26" t="inlineStr">
        <is>
          <t>Encargado de Almacén</t>
        </is>
      </c>
      <c r="E130" s="27" t="inlineStr">
        <is>
          <t>VI</t>
        </is>
      </c>
      <c r="F130" s="28" t="n">
        <v>3918</v>
      </c>
    </row>
    <row r="131">
      <c r="A131" s="5" t="n">
        <v>130</v>
      </c>
      <c r="B131" s="29" t="inlineStr">
        <is>
          <t>P-2 SALTO LOS PORTALES</t>
        </is>
      </c>
      <c r="C131" s="30" t="n">
        <v>41</v>
      </c>
      <c r="D131" s="29" t="inlineStr">
        <is>
          <t>Chofer vehiculos de carga</t>
        </is>
      </c>
      <c r="E131" s="31" t="inlineStr">
        <is>
          <t>VIII</t>
        </is>
      </c>
      <c r="F131" s="32" t="n">
        <v>4402</v>
      </c>
    </row>
    <row r="132">
      <c r="A132" s="5" t="n">
        <v>131</v>
      </c>
      <c r="B132" s="26" t="inlineStr">
        <is>
          <t>P-2 SALTO LOS PORTALES</t>
        </is>
      </c>
      <c r="C132" s="7" t="n">
        <v>42</v>
      </c>
      <c r="D132" s="26" t="inlineStr">
        <is>
          <t>Operario de Mant. Y SERV. Tecnicos</t>
        </is>
      </c>
      <c r="E132" s="27" t="inlineStr">
        <is>
          <t>VI</t>
        </is>
      </c>
      <c r="F132" s="28" t="n">
        <v>3918</v>
      </c>
    </row>
    <row r="133">
      <c r="A133" s="5" t="n">
        <v>132</v>
      </c>
      <c r="B133" s="29" t="inlineStr">
        <is>
          <t>P-2 SALTO LOS PORTALES</t>
        </is>
      </c>
      <c r="C133" s="30" t="n">
        <v>44</v>
      </c>
      <c r="D133" s="29" t="inlineStr">
        <is>
          <t>Jefe de Grupo de Seguridad Interna</t>
        </is>
      </c>
      <c r="E133" s="31" t="inlineStr">
        <is>
          <t>XI</t>
        </is>
      </c>
      <c r="F133" s="32" t="n">
        <v>5343</v>
      </c>
    </row>
    <row r="134">
      <c r="A134" s="5" t="n">
        <v>133</v>
      </c>
      <c r="B134" s="26" t="inlineStr">
        <is>
          <t>P-2 SALTO LOS PORTALES</t>
        </is>
      </c>
      <c r="C134" s="7" t="n">
        <v>45</v>
      </c>
      <c r="D134" s="26" t="inlineStr">
        <is>
          <t>Agente de Seguridad  y Protección</t>
        </is>
      </c>
      <c r="E134" s="27" t="inlineStr">
        <is>
          <t>VII</t>
        </is>
      </c>
      <c r="F134" s="28" t="n">
        <v>4153</v>
      </c>
    </row>
    <row r="135">
      <c r="A135" s="5" t="n">
        <v>134</v>
      </c>
      <c r="B135" s="29" t="inlineStr">
        <is>
          <t>P-2 EL COPEY</t>
        </is>
      </c>
      <c r="C135" s="30" t="n">
        <v>24</v>
      </c>
      <c r="D135" s="29" t="inlineStr">
        <is>
          <t>Director de las Instalaciones y/o los Complejos</t>
        </is>
      </c>
      <c r="E135" s="31" t="inlineStr">
        <is>
          <t>XIII</t>
        </is>
      </c>
      <c r="F135" s="32" t="n">
        <v>6174</v>
      </c>
    </row>
    <row r="136">
      <c r="A136" s="5" t="n">
        <v>135</v>
      </c>
      <c r="B136" s="26" t="inlineStr">
        <is>
          <t>P-2 EL COPEY</t>
        </is>
      </c>
      <c r="C136" s="7" t="n">
        <v>25</v>
      </c>
      <c r="D136" s="26" t="inlineStr">
        <is>
          <t>Subdirector Asistente</t>
        </is>
      </c>
      <c r="E136" s="27" t="inlineStr">
        <is>
          <t>XII</t>
        </is>
      </c>
      <c r="F136" s="28" t="n">
        <v>5770</v>
      </c>
    </row>
    <row r="137">
      <c r="A137" s="5" t="n">
        <v>136</v>
      </c>
      <c r="B137" s="29" t="inlineStr">
        <is>
          <t>P-2 EL COPEY</t>
        </is>
      </c>
      <c r="C137" s="30" t="n">
        <v>26</v>
      </c>
      <c r="D137" s="29" t="inlineStr">
        <is>
          <t>Sub Director Servicios</t>
        </is>
      </c>
      <c r="E137" s="31" t="inlineStr">
        <is>
          <t>X</t>
        </is>
      </c>
      <c r="F137" s="32" t="n">
        <v>4993</v>
      </c>
    </row>
    <row r="138">
      <c r="A138" s="5" t="n">
        <v>137</v>
      </c>
      <c r="B138" s="26" t="inlineStr">
        <is>
          <t>P-2 EL COPEY</t>
        </is>
      </c>
      <c r="C138" s="7" t="n">
        <v>27</v>
      </c>
      <c r="D138" s="26" t="inlineStr">
        <is>
          <t>Chofer vehiculos ligeros</t>
        </is>
      </c>
      <c r="E138" s="27" t="inlineStr">
        <is>
          <t>VI</t>
        </is>
      </c>
      <c r="F138" s="28" t="n">
        <v>3918</v>
      </c>
    </row>
    <row r="139">
      <c r="A139" s="5" t="n">
        <v>138</v>
      </c>
      <c r="B139" s="29" t="inlineStr">
        <is>
          <t>P-2 EL COPEY</t>
        </is>
      </c>
      <c r="C139" s="30" t="n">
        <v>28</v>
      </c>
      <c r="D139" s="29" t="inlineStr">
        <is>
          <t>Tècnico en gestion de capital  Humanos</t>
        </is>
      </c>
      <c r="E139" s="31" t="inlineStr">
        <is>
          <t>IX</t>
        </is>
      </c>
      <c r="F139" s="32" t="n">
        <v>4666</v>
      </c>
    </row>
    <row r="140">
      <c r="A140" s="5" t="n">
        <v>139</v>
      </c>
      <c r="B140" s="26" t="inlineStr">
        <is>
          <t>P-2 EL COPEY</t>
        </is>
      </c>
      <c r="C140" s="7" t="n">
        <v>30</v>
      </c>
      <c r="D140" s="26" t="inlineStr">
        <is>
          <t>Tecnico en Gestion Economica</t>
        </is>
      </c>
      <c r="E140" s="27" t="inlineStr">
        <is>
          <t>IX</t>
        </is>
      </c>
      <c r="F140" s="28" t="n">
        <v>4666</v>
      </c>
    </row>
    <row r="141">
      <c r="A141" s="5" t="n">
        <v>140</v>
      </c>
      <c r="B141" s="29" t="inlineStr">
        <is>
          <t>P-2 EL COPEY</t>
        </is>
      </c>
      <c r="C141" s="30" t="n">
        <v>31</v>
      </c>
      <c r="D141" s="29" t="inlineStr">
        <is>
          <t>Tecnico en Gestion Economica Cajero Pagador</t>
        </is>
      </c>
      <c r="E141" s="31" t="inlineStr">
        <is>
          <t>IX</t>
        </is>
      </c>
      <c r="F141" s="32" t="n">
        <v>4666</v>
      </c>
    </row>
    <row r="142">
      <c r="A142" s="5" t="n">
        <v>141</v>
      </c>
      <c r="B142" s="26" t="inlineStr">
        <is>
          <t>P-2 EL COPEY</t>
        </is>
      </c>
      <c r="C142" s="7" t="n">
        <v>33</v>
      </c>
      <c r="D142" s="26" t="inlineStr">
        <is>
          <t>Dependiente Gastronomico</t>
        </is>
      </c>
      <c r="E142" s="27" t="inlineStr">
        <is>
          <t>VII</t>
        </is>
      </c>
      <c r="F142" s="28" t="n">
        <v>4153</v>
      </c>
    </row>
    <row r="143">
      <c r="A143" s="5" t="n">
        <v>142</v>
      </c>
      <c r="B143" s="29" t="inlineStr">
        <is>
          <t>P-2 EL COPEY</t>
        </is>
      </c>
      <c r="C143" s="30" t="n">
        <v>34</v>
      </c>
      <c r="D143" s="29" t="inlineStr">
        <is>
          <t>Nivel Medio Superior</t>
        </is>
      </c>
      <c r="E143" s="31" t="inlineStr">
        <is>
          <t>VIII</t>
        </is>
      </c>
      <c r="F143" s="32" t="n">
        <v>4402</v>
      </c>
    </row>
    <row r="144">
      <c r="A144" s="5" t="n">
        <v>143</v>
      </c>
      <c r="B144" s="26" t="inlineStr">
        <is>
          <t>P-2 EL COPEY</t>
        </is>
      </c>
      <c r="C144" s="7" t="n">
        <v>35</v>
      </c>
      <c r="D144" s="26" t="inlineStr">
        <is>
          <t>Elaborador de Alimentos</t>
        </is>
      </c>
      <c r="E144" s="27" t="inlineStr">
        <is>
          <t>VII</t>
        </is>
      </c>
      <c r="F144" s="28" t="n">
        <v>4153</v>
      </c>
    </row>
    <row r="145">
      <c r="A145" s="5" t="n">
        <v>144</v>
      </c>
      <c r="B145" s="29" t="inlineStr">
        <is>
          <t>P-2 EL COPEY</t>
        </is>
      </c>
      <c r="C145" s="30" t="n">
        <v>37</v>
      </c>
      <c r="D145" s="29" t="inlineStr">
        <is>
          <t>Recepcionista Hotelero</t>
        </is>
      </c>
      <c r="E145" s="31" t="inlineStr">
        <is>
          <t>VII</t>
        </is>
      </c>
      <c r="F145" s="32" t="n">
        <v>4153</v>
      </c>
    </row>
    <row r="146">
      <c r="A146" s="5" t="n">
        <v>145</v>
      </c>
      <c r="B146" s="26" t="inlineStr">
        <is>
          <t>P-2 EL COPEY</t>
        </is>
      </c>
      <c r="C146" s="7" t="n">
        <v>38</v>
      </c>
      <c r="D146" s="26" t="inlineStr">
        <is>
          <t>Camarera de Habitaciones</t>
        </is>
      </c>
      <c r="E146" s="27" t="inlineStr">
        <is>
          <t>VII</t>
        </is>
      </c>
      <c r="F146" s="28" t="n">
        <v>4153</v>
      </c>
    </row>
    <row r="147">
      <c r="A147" s="5" t="n">
        <v>146</v>
      </c>
      <c r="B147" s="29" t="inlineStr">
        <is>
          <t>P-2 EL COPEY</t>
        </is>
      </c>
      <c r="C147" s="30" t="n">
        <v>40</v>
      </c>
      <c r="D147" s="29" t="inlineStr">
        <is>
          <t>Tècnico de Recreación y Animación</t>
        </is>
      </c>
      <c r="E147" s="31" t="inlineStr">
        <is>
          <t>VII</t>
        </is>
      </c>
      <c r="F147" s="32" t="n">
        <v>4153</v>
      </c>
    </row>
    <row r="148">
      <c r="A148" s="5" t="n">
        <v>147</v>
      </c>
      <c r="B148" s="26" t="inlineStr">
        <is>
          <t>P-2 EL COPEY</t>
        </is>
      </c>
      <c r="C148" s="7" t="n">
        <v>42</v>
      </c>
      <c r="D148" s="26" t="inlineStr">
        <is>
          <t>Encargado de Almacèn</t>
        </is>
      </c>
      <c r="E148" s="27" t="inlineStr">
        <is>
          <t>VI</t>
        </is>
      </c>
      <c r="F148" s="28" t="n">
        <v>3918</v>
      </c>
    </row>
    <row r="149">
      <c r="A149" s="5" t="n">
        <v>148</v>
      </c>
      <c r="B149" s="29" t="inlineStr">
        <is>
          <t>P-2 EL COPEY</t>
        </is>
      </c>
      <c r="C149" s="30" t="n">
        <v>43</v>
      </c>
      <c r="D149" s="29" t="inlineStr">
        <is>
          <t>Operario de Mant. Y Serv. Tecnicos</t>
        </is>
      </c>
      <c r="E149" s="31" t="inlineStr">
        <is>
          <t>V</t>
        </is>
      </c>
      <c r="F149" s="32" t="n">
        <v>3696</v>
      </c>
    </row>
    <row r="150">
      <c r="A150" s="5" t="n">
        <v>149</v>
      </c>
      <c r="B150" s="26" t="inlineStr">
        <is>
          <t>P-2 EL COPEY</t>
        </is>
      </c>
      <c r="C150" s="7" t="n">
        <v>45</v>
      </c>
      <c r="D150" s="26" t="inlineStr">
        <is>
          <t>Jefe de Grupo de Seguridad Interna</t>
        </is>
      </c>
      <c r="E150" s="27" t="inlineStr">
        <is>
          <t>X</t>
        </is>
      </c>
      <c r="F150" s="28" t="n">
        <v>4993</v>
      </c>
    </row>
    <row r="151">
      <c r="A151" s="5" t="n">
        <v>150</v>
      </c>
      <c r="B151" s="29" t="inlineStr">
        <is>
          <t>P-2 EL COPEY</t>
        </is>
      </c>
      <c r="C151" s="30" t="n">
        <v>46</v>
      </c>
      <c r="D151" s="29" t="inlineStr">
        <is>
          <t>Agente de Seguridad y Protecciòn</t>
        </is>
      </c>
      <c r="E151" s="31" t="inlineStr">
        <is>
          <t>VI</t>
        </is>
      </c>
      <c r="F151" s="32" t="n">
        <v>3918</v>
      </c>
    </row>
    <row r="152">
      <c r="A152" s="5" t="n">
        <v>151</v>
      </c>
      <c r="B152" s="26" t="inlineStr">
        <is>
          <t>P-2 PAJARITO</t>
        </is>
      </c>
      <c r="C152" s="7" t="n">
        <v>26</v>
      </c>
      <c r="D152" s="26" t="inlineStr">
        <is>
          <t>Director de las Instalaciones y/o los Complejos</t>
        </is>
      </c>
      <c r="E152" s="27" t="inlineStr">
        <is>
          <t>XIII</t>
        </is>
      </c>
      <c r="F152" s="28" t="n">
        <v>6174</v>
      </c>
    </row>
    <row r="153">
      <c r="A153" s="5" t="n">
        <v>152</v>
      </c>
      <c r="B153" s="29" t="inlineStr">
        <is>
          <t>P-2 PAJARITO</t>
        </is>
      </c>
      <c r="C153" s="30" t="n">
        <v>27</v>
      </c>
      <c r="D153" s="29" t="inlineStr">
        <is>
          <t>Subdirector Asistente de Servicios y Calidad</t>
        </is>
      </c>
      <c r="E153" s="31" t="inlineStr">
        <is>
          <t>XII</t>
        </is>
      </c>
      <c r="F153" s="32" t="n">
        <v>5770</v>
      </c>
    </row>
    <row r="154">
      <c r="A154" s="5" t="n">
        <v>153</v>
      </c>
      <c r="B154" s="26" t="inlineStr">
        <is>
          <t>P-2 PAJARITO</t>
        </is>
      </c>
      <c r="C154" s="7" t="n">
        <v>28</v>
      </c>
      <c r="D154" s="26" t="inlineStr">
        <is>
          <t>Subdirector Asistente de  Control Interno</t>
        </is>
      </c>
      <c r="E154" s="27" t="inlineStr">
        <is>
          <t>XII</t>
        </is>
      </c>
      <c r="F154" s="28" t="n">
        <v>5770</v>
      </c>
    </row>
    <row r="155">
      <c r="A155" s="5" t="n">
        <v>154</v>
      </c>
      <c r="B155" s="29" t="inlineStr">
        <is>
          <t>P-2 PAJARITO</t>
        </is>
      </c>
      <c r="C155" s="30" t="n">
        <v>29</v>
      </c>
      <c r="D155" s="29" t="inlineStr">
        <is>
          <t>Tecnico  en Gestion de Capital Humanos</t>
        </is>
      </c>
      <c r="E155" s="31" t="inlineStr">
        <is>
          <t>IX</t>
        </is>
      </c>
      <c r="F155" s="32" t="n">
        <v>4666</v>
      </c>
    </row>
    <row r="156">
      <c r="A156" s="5" t="n">
        <v>155</v>
      </c>
      <c r="B156" s="26" t="inlineStr">
        <is>
          <t>P-2 PAJARITO</t>
        </is>
      </c>
      <c r="C156" s="7" t="n">
        <v>31</v>
      </c>
      <c r="D156" s="26" t="inlineStr">
        <is>
          <t>Técnico  en Gestión Económica</t>
        </is>
      </c>
      <c r="E156" s="27" t="inlineStr">
        <is>
          <t>IX</t>
        </is>
      </c>
      <c r="F156" s="28" t="n">
        <v>4666</v>
      </c>
    </row>
    <row r="157">
      <c r="A157" s="5" t="n">
        <v>156</v>
      </c>
      <c r="B157" s="29" t="inlineStr">
        <is>
          <t>P-2 PAJARITO</t>
        </is>
      </c>
      <c r="C157" s="30" t="n">
        <v>33</v>
      </c>
      <c r="D157" s="29" t="inlineStr">
        <is>
          <t>Dependiente Gastronómico</t>
        </is>
      </c>
      <c r="E157" s="31" t="inlineStr">
        <is>
          <t>VII</t>
        </is>
      </c>
      <c r="F157" s="32" t="n">
        <v>4153</v>
      </c>
    </row>
    <row r="158">
      <c r="A158" s="5" t="n">
        <v>157</v>
      </c>
      <c r="B158" s="26" t="inlineStr">
        <is>
          <t>P-2 PAJARITO</t>
        </is>
      </c>
      <c r="C158" s="7" t="n">
        <v>34</v>
      </c>
      <c r="D158" s="26" t="inlineStr">
        <is>
          <t>Nivel Medio Superior</t>
        </is>
      </c>
      <c r="E158" s="27" t="inlineStr">
        <is>
          <t>VIII</t>
        </is>
      </c>
      <c r="F158" s="28" t="n">
        <v>4402</v>
      </c>
    </row>
    <row r="159">
      <c r="A159" s="5" t="n">
        <v>158</v>
      </c>
      <c r="B159" s="29" t="inlineStr">
        <is>
          <t>P-2 PAJARITO</t>
        </is>
      </c>
      <c r="C159" s="30" t="n">
        <v>35</v>
      </c>
      <c r="D159" s="29" t="inlineStr">
        <is>
          <t>Elaborador de Alimentos</t>
        </is>
      </c>
      <c r="E159" s="31" t="inlineStr">
        <is>
          <t>VII</t>
        </is>
      </c>
      <c r="F159" s="32" t="n">
        <v>4153</v>
      </c>
    </row>
    <row r="160">
      <c r="A160" s="5" t="n">
        <v>159</v>
      </c>
      <c r="B160" s="26" t="inlineStr">
        <is>
          <t>P-2 PAJARITO</t>
        </is>
      </c>
      <c r="C160" s="7" t="n">
        <v>37</v>
      </c>
      <c r="D160" s="26" t="inlineStr">
        <is>
          <t>Recepcionista Hotelero</t>
        </is>
      </c>
      <c r="E160" s="27" t="inlineStr">
        <is>
          <t>VII</t>
        </is>
      </c>
      <c r="F160" s="28" t="n">
        <v>4153</v>
      </c>
    </row>
    <row r="161">
      <c r="A161" s="5" t="n">
        <v>160</v>
      </c>
      <c r="B161" s="29" t="inlineStr">
        <is>
          <t>P-2 PAJARITO</t>
        </is>
      </c>
      <c r="C161" s="30" t="n">
        <v>38</v>
      </c>
      <c r="D161" s="29" t="inlineStr">
        <is>
          <t>Camarera de Habitaciones</t>
        </is>
      </c>
      <c r="E161" s="31" t="inlineStr">
        <is>
          <t>VII</t>
        </is>
      </c>
      <c r="F161" s="32" t="n">
        <v>4153</v>
      </c>
    </row>
    <row r="162">
      <c r="A162" s="5" t="n">
        <v>161</v>
      </c>
      <c r="B162" s="26" t="inlineStr">
        <is>
          <t>P-2 PAJARITO</t>
        </is>
      </c>
      <c r="C162" s="7" t="n">
        <v>39</v>
      </c>
      <c r="D162" s="26" t="inlineStr">
        <is>
          <t>Técnico  en Recreación y Animación</t>
        </is>
      </c>
      <c r="E162" s="27" t="inlineStr">
        <is>
          <t>VII</t>
        </is>
      </c>
      <c r="F162" s="28" t="n">
        <v>4153</v>
      </c>
    </row>
    <row r="163">
      <c r="A163" s="5" t="n">
        <v>162</v>
      </c>
      <c r="B163" s="29" t="inlineStr">
        <is>
          <t>P-2 PAJARITO</t>
        </is>
      </c>
      <c r="C163" s="30" t="n">
        <v>41</v>
      </c>
      <c r="D163" s="29" t="inlineStr">
        <is>
          <t>Encargado de Almacén</t>
        </is>
      </c>
      <c r="E163" s="31" t="inlineStr">
        <is>
          <t>VI</t>
        </is>
      </c>
      <c r="F163" s="32" t="n">
        <v>3918</v>
      </c>
    </row>
    <row r="164">
      <c r="A164" s="5" t="n">
        <v>163</v>
      </c>
      <c r="B164" s="26" t="inlineStr">
        <is>
          <t>P-2 PAJARITO</t>
        </is>
      </c>
      <c r="C164" s="7" t="n">
        <v>42</v>
      </c>
      <c r="D164" s="26" t="inlineStr">
        <is>
          <t>Operario de Mant. Y SERV. TEC.</t>
        </is>
      </c>
      <c r="E164" s="27" t="inlineStr">
        <is>
          <t>V</t>
        </is>
      </c>
      <c r="F164" s="28" t="n">
        <v>3696</v>
      </c>
    </row>
    <row r="165">
      <c r="A165" s="5" t="n">
        <v>164</v>
      </c>
      <c r="B165" s="29" t="inlineStr">
        <is>
          <t>P-2 PAJARITO</t>
        </is>
      </c>
      <c r="C165" s="30" t="n">
        <v>44</v>
      </c>
      <c r="D165" s="29" t="inlineStr">
        <is>
          <t>Agente de Seguridad y Proteccion</t>
        </is>
      </c>
      <c r="E165" s="31" t="inlineStr">
        <is>
          <t>VI</t>
        </is>
      </c>
      <c r="F165" s="32" t="n">
        <v>3918</v>
      </c>
    </row>
    <row r="166">
      <c r="A166" s="5" t="n">
        <v>165</v>
      </c>
      <c r="B166" s="26" t="inlineStr">
        <is>
          <t>Boca de Galafre</t>
        </is>
      </c>
      <c r="C166" s="7" t="n">
        <v>24</v>
      </c>
      <c r="D166" s="26" t="inlineStr">
        <is>
          <t>Director de las Instalaciones y/o los Complejos</t>
        </is>
      </c>
      <c r="E166" s="27" t="inlineStr">
        <is>
          <t>XIII</t>
        </is>
      </c>
      <c r="F166" s="28" t="n">
        <v>6174</v>
      </c>
    </row>
    <row r="167">
      <c r="A167" s="5" t="n">
        <v>166</v>
      </c>
      <c r="B167" s="29" t="inlineStr">
        <is>
          <t>Boca de Galafre</t>
        </is>
      </c>
      <c r="C167" s="30" t="n">
        <v>25</v>
      </c>
      <c r="D167" s="29" t="inlineStr">
        <is>
          <t>Subdirector Asistente</t>
        </is>
      </c>
      <c r="E167" s="31" t="inlineStr">
        <is>
          <t>XII</t>
        </is>
      </c>
      <c r="F167" s="32" t="n">
        <v>5770</v>
      </c>
    </row>
    <row r="168">
      <c r="A168" s="5" t="n">
        <v>167</v>
      </c>
      <c r="B168" s="26" t="inlineStr">
        <is>
          <t>Boca de Galafre</t>
        </is>
      </c>
      <c r="C168" s="7" t="n">
        <v>26</v>
      </c>
      <c r="D168" s="26" t="inlineStr">
        <is>
          <t>Jefe de Brigada de los Servicios</t>
        </is>
      </c>
      <c r="E168" s="27" t="inlineStr">
        <is>
          <t>X</t>
        </is>
      </c>
      <c r="F168" s="28" t="n">
        <v>4993</v>
      </c>
    </row>
    <row r="169">
      <c r="A169" s="5" t="n">
        <v>168</v>
      </c>
      <c r="B169" s="29" t="inlineStr">
        <is>
          <t>Boca de Galafre</t>
        </is>
      </c>
      <c r="C169" s="30" t="n">
        <v>27</v>
      </c>
      <c r="D169" s="29" t="inlineStr">
        <is>
          <t>Chofer Vehiculos Ligeros</t>
        </is>
      </c>
      <c r="E169" s="31" t="inlineStr">
        <is>
          <t>VI</t>
        </is>
      </c>
      <c r="F169" s="32" t="n">
        <v>3918</v>
      </c>
    </row>
    <row r="170">
      <c r="A170" s="5" t="n">
        <v>169</v>
      </c>
      <c r="B170" s="26" t="inlineStr">
        <is>
          <t>Boca de Galafre</t>
        </is>
      </c>
      <c r="C170" s="7" t="n">
        <v>28</v>
      </c>
      <c r="D170" s="26" t="inlineStr">
        <is>
          <t>Tecnico  en Gestion de Capital Humanos</t>
        </is>
      </c>
      <c r="E170" s="27" t="inlineStr">
        <is>
          <t>IX</t>
        </is>
      </c>
      <c r="F170" s="28" t="n">
        <v>4666</v>
      </c>
    </row>
    <row r="171">
      <c r="A171" s="5" t="n">
        <v>170</v>
      </c>
      <c r="B171" s="29" t="inlineStr">
        <is>
          <t>Boca de Galafre</t>
        </is>
      </c>
      <c r="C171" s="30" t="n">
        <v>30</v>
      </c>
      <c r="D171" s="29" t="inlineStr">
        <is>
          <t>Especialista en Gestion  Economica</t>
        </is>
      </c>
      <c r="E171" s="31" t="inlineStr">
        <is>
          <t>XI</t>
        </is>
      </c>
      <c r="F171" s="32" t="n">
        <v>5343</v>
      </c>
    </row>
    <row r="172">
      <c r="A172" s="5" t="n">
        <v>171</v>
      </c>
      <c r="B172" s="26" t="inlineStr">
        <is>
          <t>Boca de Galafre</t>
        </is>
      </c>
      <c r="C172" s="7" t="n">
        <v>31</v>
      </c>
      <c r="D172" s="26" t="inlineStr">
        <is>
          <t>Técnico  en Gestión Económica</t>
        </is>
      </c>
      <c r="E172" s="27" t="inlineStr">
        <is>
          <t>IX</t>
        </is>
      </c>
      <c r="F172" s="28" t="n">
        <v>4666</v>
      </c>
    </row>
    <row r="173">
      <c r="A173" s="5" t="n">
        <v>172</v>
      </c>
      <c r="B173" s="29" t="inlineStr">
        <is>
          <t>Boca de Galafre</t>
        </is>
      </c>
      <c r="C173" s="30" t="n">
        <v>33</v>
      </c>
      <c r="D173" s="29" t="inlineStr">
        <is>
          <t>Dependiente Gastronomico</t>
        </is>
      </c>
      <c r="E173" s="31" t="inlineStr">
        <is>
          <t>VII</t>
        </is>
      </c>
      <c r="F173" s="32" t="n">
        <v>4153</v>
      </c>
    </row>
    <row r="174">
      <c r="A174" s="5" t="n">
        <v>173</v>
      </c>
      <c r="B174" s="26" t="inlineStr">
        <is>
          <t>Boca de Galafre</t>
        </is>
      </c>
      <c r="C174" s="7" t="n">
        <v>34</v>
      </c>
      <c r="D174" s="26" t="inlineStr">
        <is>
          <t>Nivel Medio Superior</t>
        </is>
      </c>
      <c r="E174" s="27" t="inlineStr">
        <is>
          <t>VIII</t>
        </is>
      </c>
      <c r="F174" s="28" t="n">
        <v>4402</v>
      </c>
    </row>
    <row r="175">
      <c r="A175" s="5" t="n">
        <v>174</v>
      </c>
      <c r="B175" s="29" t="inlineStr">
        <is>
          <t>Boca de Galafre</t>
        </is>
      </c>
      <c r="C175" s="30" t="n">
        <v>35</v>
      </c>
      <c r="D175" s="29" t="inlineStr">
        <is>
          <t>Elaborador de Alimentos</t>
        </is>
      </c>
      <c r="E175" s="31" t="inlineStr">
        <is>
          <t>VII</t>
        </is>
      </c>
      <c r="F175" s="32" t="n">
        <v>4153</v>
      </c>
    </row>
    <row r="176">
      <c r="A176" s="5" t="n">
        <v>175</v>
      </c>
      <c r="B176" s="26" t="inlineStr">
        <is>
          <t>Boca de Galafre</t>
        </is>
      </c>
      <c r="C176" s="7" t="n">
        <v>37</v>
      </c>
      <c r="D176" s="26" t="inlineStr">
        <is>
          <t>Recepcionista Hotelero</t>
        </is>
      </c>
      <c r="E176" s="27" t="inlineStr">
        <is>
          <t>VII</t>
        </is>
      </c>
      <c r="F176" s="28" t="n">
        <v>4153</v>
      </c>
    </row>
    <row r="177">
      <c r="A177" s="5" t="n">
        <v>176</v>
      </c>
      <c r="B177" s="29" t="inlineStr">
        <is>
          <t>Boca de Galafre</t>
        </is>
      </c>
      <c r="C177" s="30" t="n">
        <v>38</v>
      </c>
      <c r="D177" s="29" t="inlineStr">
        <is>
          <t>Camarera de Habitaciones</t>
        </is>
      </c>
      <c r="E177" s="31" t="inlineStr">
        <is>
          <t>VII</t>
        </is>
      </c>
      <c r="F177" s="32" t="n">
        <v>4153</v>
      </c>
    </row>
    <row r="178">
      <c r="A178" s="5" t="n">
        <v>177</v>
      </c>
      <c r="B178" s="26" t="inlineStr">
        <is>
          <t>Boca de Galafre</t>
        </is>
      </c>
      <c r="C178" s="7" t="n">
        <v>39</v>
      </c>
      <c r="D178" s="26" t="inlineStr">
        <is>
          <t>Auxiliar General de  Servicios</t>
        </is>
      </c>
      <c r="E178" s="27" t="inlineStr">
        <is>
          <t>IV</t>
        </is>
      </c>
      <c r="F178" s="28" t="n">
        <v>3487</v>
      </c>
    </row>
    <row r="179">
      <c r="A179" s="5" t="n">
        <v>178</v>
      </c>
      <c r="B179" s="29" t="inlineStr">
        <is>
          <t>Boca de Galafre</t>
        </is>
      </c>
      <c r="C179" s="30" t="n">
        <v>40</v>
      </c>
      <c r="D179" s="29" t="inlineStr">
        <is>
          <t>Técnico en Recreación y Animación JB</t>
        </is>
      </c>
      <c r="E179" s="31" t="inlineStr">
        <is>
          <t>X</t>
        </is>
      </c>
      <c r="F179" s="32" t="n">
        <v>4993</v>
      </c>
    </row>
    <row r="180">
      <c r="A180" s="5" t="n">
        <v>179</v>
      </c>
      <c r="B180" s="26" t="inlineStr">
        <is>
          <t>Boca de Galafre</t>
        </is>
      </c>
      <c r="C180" s="7" t="n">
        <v>41</v>
      </c>
      <c r="D180" s="26" t="inlineStr">
        <is>
          <t>Técnico en Recreación y Animación</t>
        </is>
      </c>
      <c r="E180" s="27" t="inlineStr">
        <is>
          <t>VII</t>
        </is>
      </c>
      <c r="F180" s="28" t="n">
        <v>4153</v>
      </c>
    </row>
    <row r="181">
      <c r="A181" s="5" t="n">
        <v>180</v>
      </c>
      <c r="B181" s="29" t="inlineStr">
        <is>
          <t>Boca de Galafre</t>
        </is>
      </c>
      <c r="C181" s="30" t="n">
        <v>43</v>
      </c>
      <c r="D181" s="29" t="inlineStr">
        <is>
          <t>Encargado de Almacén</t>
        </is>
      </c>
      <c r="E181" s="31" t="inlineStr">
        <is>
          <t>VII</t>
        </is>
      </c>
      <c r="F181" s="32" t="n">
        <v>4153</v>
      </c>
    </row>
    <row r="182">
      <c r="A182" s="5" t="n">
        <v>181</v>
      </c>
      <c r="B182" s="26" t="inlineStr">
        <is>
          <t>Boca de Galafre</t>
        </is>
      </c>
      <c r="C182" s="7" t="n">
        <v>44</v>
      </c>
      <c r="D182" s="26" t="inlineStr">
        <is>
          <t>Operario de Mant. Y Serv, Tec.</t>
        </is>
      </c>
      <c r="E182" s="27" t="inlineStr">
        <is>
          <t>V</t>
        </is>
      </c>
      <c r="F182" s="28" t="n">
        <v>3696</v>
      </c>
    </row>
    <row r="183">
      <c r="A183" s="5" t="n">
        <v>182</v>
      </c>
      <c r="B183" s="29" t="inlineStr">
        <is>
          <t>Boca de Galafre</t>
        </is>
      </c>
      <c r="C183" s="30" t="n">
        <v>46</v>
      </c>
      <c r="D183" s="29" t="inlineStr">
        <is>
          <t>Jefes de Grupo de Seguridad Interna</t>
        </is>
      </c>
      <c r="E183" s="31" t="inlineStr">
        <is>
          <t>X</t>
        </is>
      </c>
      <c r="F183" s="32" t="n">
        <v>4993</v>
      </c>
    </row>
    <row r="184">
      <c r="A184" s="5" t="n">
        <v>183</v>
      </c>
      <c r="B184" s="26" t="inlineStr">
        <is>
          <t>Boca de Galafre</t>
        </is>
      </c>
      <c r="C184" s="7" t="n">
        <v>47</v>
      </c>
      <c r="D184" s="26" t="inlineStr">
        <is>
          <t>Agente de Seguridad y Protección</t>
        </is>
      </c>
      <c r="E184" s="27" t="inlineStr">
        <is>
          <t>VI</t>
        </is>
      </c>
      <c r="F184" s="28" t="n">
        <v>3918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6" customHeight="1">
      <c r="A1" s="33" t="inlineStr">
        <is>
          <t>METODOLOGÍA Y FUENTES</t>
        </is>
      </c>
    </row>
    <row r="2" ht="16" customHeight="1">
      <c r="A2" s="34" t="inlineStr"/>
    </row>
    <row r="3" ht="30" customHeight="1">
      <c r="A3" s="34" t="inlineStr">
        <is>
          <t>1. Salario mínimo: $3,210.00 mensuales, Resolución 14/2026 del MTSS (GOC-2026-393-O60, Gaceta Oficial No. 60 Ordinaria de 17/07/2026, p. 1839).</t>
        </is>
      </c>
    </row>
    <row r="4" ht="30" customHeight="1">
      <c r="A4" s="34" t="inlineStr">
        <is>
          <t>2. Escala oficial de 32 grupos (I a XXXII), régimen de 44 horas: Resolución 15/2026 (GOC-2026-394-O60), pp. 1839-1840. Los valores son los publicados oficialmente (redondeados).</t>
        </is>
      </c>
    </row>
    <row r="5" ht="16" customHeight="1">
      <c r="A5" s="34" t="inlineStr">
        <is>
          <t>3. Escala anterior: Resolución 29/2020, leída de TES/Salariales/Escala 3210_OK.xlsx.</t>
        </is>
      </c>
    </row>
    <row r="6" ht="30" customHeight="1">
      <c r="A6" s="34" t="inlineStr">
        <is>
          <t>4. Columna “Salario propuesto Plantilla Decreto 87”: extraída del libro “propuesta de plantilla por la resolucion 87.xls” (9 hojas de cargos). Por cada planta se localiza el encabezado G.E.A/G.E.P (grupo escala propuesto) y se toma el salario de la columna siguiente; cuando un grupo aparece con varios salarios, se adopta el valor mayoritario.</t>
        </is>
      </c>
    </row>
    <row r="7" ht="30" customHeight="1">
      <c r="A7" s="34" t="inlineStr">
        <is>
          <t>5. Grupos sin propuesta en la plantilla: I, II, III y XIX al XXXII (la plantilla solo propone cargos entre los grupos IV y XVIII).</t>
        </is>
      </c>
    </row>
    <row r="8" ht="30" customHeight="1">
      <c r="A8" s="34" t="inlineStr">
        <is>
          <t>6. La hoja “Escala por correlacion” replica el cálculo automático (salario_n = correlación_n × salario_n-1) con fórmulas vivas de Excel; difiere levemente de la escala oficial porque esta última está redondeada.</t>
        </is>
      </c>
    </row>
    <row r="9" ht="16" customHeight="1">
      <c r="A9" s="34" t="inlineStr"/>
    </row>
    <row r="10" ht="16" customHeight="1">
      <c r="A10" s="33" t="inlineStr">
        <is>
          <t>ANOMALÍAS DETECTADAS EN LA PLANTILLA (.xls)</t>
        </is>
      </c>
    </row>
    <row r="11" ht="30" customHeight="1">
      <c r="A11" s="34" t="inlineStr">
        <is>
          <t>• Grupo XII: valores encontrados -&gt; $5,770.00 (15 ocurrencias), $5,570.00 (1 ocurrencias). Se adopta $5,770.00 por ser el mayoritario.</t>
        </is>
      </c>
    </row>
    <row r="12" ht="30" customHeight="1">
      <c r="A12" s="34" t="inlineStr">
        <is>
          <t>• Grupo XV: valores encontrados -&gt; $7,201.00 (5 ocurrencias), $7,777.00 (1 ocurrencias). Se adopta $7,201.00 por ser el mayoritario.</t>
        </is>
      </c>
    </row>
    <row r="13" ht="16" customHeight="1">
      <c r="A13" s="34" t="inlineStr"/>
    </row>
    <row r="14" ht="30" customHeight="1">
      <c r="A14" s="34" t="inlineStr">
        <is>
          <t>LENGUAJE DE PROGRAMACIÓN UTILIZADO: Python 3 — librerías xlrd (lectura del .xls heredado), openpyxl (Excel con fórmulas/estilos) y fpdf2 (PDF). Es la opción más adecuada porque lee formatos legacy, permite auditoría registro a registro, se re-ejecuta sin intervención manual y genera ambos formatos de salida con un único código mantenible.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76" customWidth="1" min="3" max="3"/>
    <col width="22" customWidth="1" min="4" max="4"/>
    <col width="68" customWidth="1" min="5" max="5"/>
    <col width="68" customWidth="1" min="6" max="6"/>
    <col width="18" customWidth="1" min="7" max="7"/>
  </cols>
  <sheetData>
    <row r="1" ht="30" customHeight="1">
      <c r="A1" s="35" t="inlineStr">
        <is>
          <t>TRAZABILIDAD DE FUENTES · CAPITAL HUMANO</t>
        </is>
      </c>
      <c r="B1" s="35" t="n"/>
      <c r="C1" s="35" t="n"/>
      <c r="D1" s="35" t="n"/>
      <c r="E1" s="35" t="n"/>
      <c r="F1" s="35" t="n"/>
      <c r="G1" s="35" t="n"/>
    </row>
    <row r="2">
      <c r="A2" s="36" t="inlineStr">
        <is>
          <t>Versión de la aplicación</t>
        </is>
      </c>
      <c r="B2" t="inlineStr">
        <is>
          <t>0.1.0-dev</t>
        </is>
      </c>
    </row>
    <row r="3">
      <c r="A3" s="36" t="inlineStr">
        <is>
          <t>Integridad del manifiesto</t>
        </is>
      </c>
      <c r="B3" t="inlineStr">
        <is>
          <t>VERIFICADA</t>
        </is>
      </c>
    </row>
    <row r="4">
      <c r="A4" s="36" t="inlineStr">
        <is>
          <t>Verificación UTC</t>
        </is>
      </c>
      <c r="B4" t="inlineStr">
        <is>
          <t>2026-10-28T22:47:29+00:00</t>
        </is>
      </c>
    </row>
    <row r="5" ht="30" customHeight="1">
      <c r="A5" s="37" t="inlineStr">
        <is>
          <t>SHA-256 compara los bytes con el manifiesto versionado; no sustituye revisión normativa ni firma digital.</t>
        </is>
      </c>
    </row>
    <row r="6" ht="36" customHeight="1">
      <c r="A6" s="38" t="inlineStr">
        <is>
          <t>ID</t>
        </is>
      </c>
      <c r="B6" s="38" t="inlineStr">
        <is>
          <t>Fuente</t>
        </is>
      </c>
      <c r="C6" s="38" t="inlineStr">
        <is>
          <t>Ruta del repositorio</t>
        </is>
      </c>
      <c r="D6" s="38" t="inlineStr">
        <is>
          <t>Estado</t>
        </is>
      </c>
      <c r="E6" s="38" t="inlineStr">
        <is>
          <t>SHA-256 aprobado</t>
        </is>
      </c>
      <c r="F6" s="38" t="inlineStr">
        <is>
          <t>SHA-256 actual</t>
        </is>
      </c>
      <c r="G6" s="38" t="inlineStr">
        <is>
          <t>Tamaño (bytes)</t>
        </is>
      </c>
    </row>
    <row r="7">
      <c r="A7" s="39" t="inlineStr">
        <is>
          <t>plantilla_res87</t>
        </is>
      </c>
      <c r="B7" s="40" t="inlineStr">
        <is>
          <t>Plantilla de cargos · propuesta Resolución 87</t>
        </is>
      </c>
      <c r="C7" s="40" t="inlineStr">
        <is>
          <t>Nueva Estructura de Plantilla/Organigrama/propuesta de plantilla por la resolucion 87.xls</t>
        </is>
      </c>
      <c r="D7" s="41" t="inlineStr">
        <is>
          <t>VERIFICADA</t>
        </is>
      </c>
      <c r="E7" s="42" t="inlineStr">
        <is>
          <t>02399d1abf33cb821829df57f146e9011488ed86a11e539c664a2114c7b8b6cc</t>
        </is>
      </c>
      <c r="F7" s="42" t="inlineStr">
        <is>
          <t>02399d1abf33cb821829df57f146e9011488ed86a11e539c664a2114c7b8b6cc</t>
        </is>
      </c>
      <c r="G7" s="39" t="n">
        <v>2780672</v>
      </c>
    </row>
    <row r="8">
      <c r="A8" s="39" t="inlineStr">
        <is>
          <t>escala_res29</t>
        </is>
      </c>
      <c r="B8" s="40" t="inlineStr">
        <is>
          <t>Escala histórica · Resolución 29/2020</t>
        </is>
      </c>
      <c r="C8" s="40" t="inlineStr">
        <is>
          <t>TES/Salariales/Escala 3210_OK.xlsx</t>
        </is>
      </c>
      <c r="D8" s="41" t="inlineStr">
        <is>
          <t>VERIFICADA</t>
        </is>
      </c>
      <c r="E8" s="42" t="inlineStr">
        <is>
          <t>fbf1764dd6d77a5845dbbd01a7453e119915feb798dc7b43f25e431f67217d01</t>
        </is>
      </c>
      <c r="F8" s="42" t="inlineStr">
        <is>
          <t>fbf1764dd6d77a5845dbbd01a7453e119915feb798dc7b43f25e431f67217d01</t>
        </is>
      </c>
      <c r="G8" s="39" t="n">
        <v>13968</v>
      </c>
    </row>
    <row r="9">
      <c r="A9" s="39" t="inlineStr">
        <is>
          <t>gaceta_2026</t>
        </is>
      </c>
      <c r="B9" s="40" t="inlineStr">
        <is>
          <t>Gaceta Oficial · Resoluciones 14/2026 y 15/2026</t>
        </is>
      </c>
      <c r="C9" s="40" t="inlineStr">
        <is>
          <t>TES/Salariales/goc-2026-o60.pdf</t>
        </is>
      </c>
      <c r="D9" s="41" t="inlineStr">
        <is>
          <t>VERIFICADA</t>
        </is>
      </c>
      <c r="E9" s="42" t="inlineStr">
        <is>
          <t>7dfe261ae1db5de5ceee1e9ebe141693a5a1ca474809158960c6bd94a2c0a1e1</t>
        </is>
      </c>
      <c r="F9" s="42" t="inlineStr">
        <is>
          <t>7dfe261ae1db5de5ceee1e9ebe141693a5a1ca474809158960c6bd94a2c0a1e1</t>
        </is>
      </c>
      <c r="G9" s="39" t="n">
        <v>1104320</v>
      </c>
    </row>
    <row r="10">
      <c r="A10" s="39" t="inlineStr">
        <is>
          <t>motor_calculo</t>
        </is>
      </c>
      <c r="B10" s="40" t="inlineStr">
        <is>
          <t>Código de extracción y cálculo</t>
        </is>
      </c>
      <c r="C10" s="40" t="inlineStr">
        <is>
          <t>TES/Salariales/Nueva Escala 3210/generar_escala.py</t>
        </is>
      </c>
      <c r="D10" s="41" t="inlineStr">
        <is>
          <t>VERIFICADA</t>
        </is>
      </c>
      <c r="E10" s="42" t="inlineStr">
        <is>
          <t>7ab5a4346d21ac5bb85389c006f81741a9afc03ea4f3058cf17ab24ea2f45a13</t>
        </is>
      </c>
      <c r="F10" s="42" t="inlineStr">
        <is>
          <t>7ab5a4346d21ac5bb85389c006f81741a9afc03ea4f3058cf17ab24ea2f45a13</t>
        </is>
      </c>
      <c r="G10" s="39" t="n">
        <v>43005</v>
      </c>
    </row>
    <row r="11">
      <c r="A11" s="39" t="inlineStr">
        <is>
          <t>interfaz_app</t>
        </is>
      </c>
      <c r="B11" s="40" t="inlineStr">
        <is>
          <t>Código de la aplicación y exportadores</t>
        </is>
      </c>
      <c r="C11" s="40" t="inlineStr">
        <is>
          <t>TES/Salariales/Nueva Escala 3210/app_escala.py</t>
        </is>
      </c>
      <c r="D11" s="41" t="inlineStr">
        <is>
          <t>VERIFICADA</t>
        </is>
      </c>
      <c r="E11" s="42" t="inlineStr">
        <is>
          <t>247abb24916ab26d432365a991e389986e62dff1e658156c817145354cd84b03</t>
        </is>
      </c>
      <c r="F11" s="42" t="inlineStr">
        <is>
          <t>247abb24916ab26d432365a991e389986e62dff1e658156c817145354cd84b03</t>
        </is>
      </c>
      <c r="G11" s="39" t="n">
        <v>56637</v>
      </c>
    </row>
    <row r="12">
      <c r="A12" s="39" t="inlineStr">
        <is>
          <t>actualizador_manifest</t>
        </is>
      </c>
      <c r="B12" s="40" t="inlineStr">
        <is>
          <t>Herramienta de actualización del manifiesto</t>
        </is>
      </c>
      <c r="C12" s="40" t="inlineStr">
        <is>
          <t>tools/actualizar_manifiesto_fuentes.py</t>
        </is>
      </c>
      <c r="D12" s="41" t="inlineStr">
        <is>
          <t>VERIFICADA</t>
        </is>
      </c>
      <c r="E12" s="42" t="inlineStr">
        <is>
          <t>6b820ded8d9c01129c0d5fbfa223e43039be6126db75809c15d5ea675f2c5e85</t>
        </is>
      </c>
      <c r="F12" s="42" t="inlineStr">
        <is>
          <t>6b820ded8d9c01129c0d5fbfa223e43039be6126db75809c15d5ea675f2c5e85</t>
        </is>
      </c>
      <c r="G12" s="39" t="n">
        <v>865</v>
      </c>
    </row>
  </sheetData>
  <autoFilter ref="A6:G12"/>
  <mergeCells count="2">
    <mergeCell ref="A1:G1"/>
    <mergeCell ref="A5:G5"/>
  </mergeCells>
  <pageMargins left="0.75" right="0.75" top="1" bottom="1" header="0.5" footer="0.5"/>
  <pageSetup orientation="landscape" paperSize="9" fitToHeight="0" fitToWidth="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2026-10-28T22:47:28Z</dcterms:created>
  <dcterms:modified xsi:type="dcterms:W3CDTF">2026-10-28T22:47:29Z</dcterms:modified>
</cp:coreProperties>
</file>