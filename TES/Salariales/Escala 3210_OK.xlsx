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ismo\Capacitación Sistema Salarial. R14\TES\Salariales\"/>
    </mc:Choice>
  </mc:AlternateContent>
  <xr:revisionPtr revIDLastSave="0" documentId="13_ncr:1_{42F1696C-26EA-4A81-A0A5-4460B3EC296F}" xr6:coauthVersionLast="47" xr6:coauthVersionMax="47" xr10:uidLastSave="{00000000-0000-0000-0000-000000000000}"/>
  <bookViews>
    <workbookView xWindow="-108" yWindow="-108" windowWidth="23256" windowHeight="12456" xr2:uid="{2AD829F2-0C5C-474B-A34E-A9864F328D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" i="1"/>
  <c r="E3" i="1" l="1"/>
  <c r="D33" i="1"/>
  <c r="D27" i="1"/>
  <c r="D28" i="1"/>
  <c r="D29" i="1"/>
  <c r="D30" i="1"/>
  <c r="D31" i="1"/>
  <c r="D32" i="1"/>
  <c r="D2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6" i="1"/>
  <c r="D4" i="1"/>
  <c r="D3" i="1"/>
  <c r="E5" i="1" l="1"/>
  <c r="E4" i="1"/>
  <c r="E7" i="1" l="1"/>
  <c r="E6" i="1"/>
  <c r="E8" i="1" l="1"/>
  <c r="E9" i="1" l="1"/>
  <c r="E10" i="1" l="1"/>
  <c r="E11" i="1" l="1"/>
  <c r="E12" i="1"/>
  <c r="E13" i="1" l="1"/>
  <c r="E14" i="1" l="1"/>
  <c r="E15" i="1" l="1"/>
  <c r="E16" i="1" l="1"/>
  <c r="E17" i="1" l="1"/>
  <c r="E18" i="1" l="1"/>
  <c r="E19" i="1" l="1"/>
  <c r="E20" i="1" l="1"/>
  <c r="E21" i="1" l="1"/>
  <c r="E22" i="1"/>
  <c r="E24" i="1" l="1"/>
  <c r="E23" i="1"/>
  <c r="E25" i="1" l="1"/>
  <c r="E26" i="1" l="1"/>
  <c r="E27" i="1" l="1"/>
  <c r="E28" i="1" l="1"/>
  <c r="E29" i="1" l="1"/>
  <c r="E30" i="1" l="1"/>
  <c r="E31" i="1" l="1"/>
  <c r="E32" i="1" l="1"/>
  <c r="E33" i="1" l="1"/>
</calcChain>
</file>

<file path=xl/sharedStrings.xml><?xml version="1.0" encoding="utf-8"?>
<sst xmlns="http://schemas.openxmlformats.org/spreadsheetml/2006/main" count="37" uniqueCount="37">
  <si>
    <t>Grupo de complejidad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</si>
  <si>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</si>
  <si>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</si>
  <si>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</si>
  <si>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</si>
  <si>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</si>
  <si>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</si>
  <si>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</si>
  <si>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</si>
  <si>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</si>
  <si>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</si>
  <si>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</si>
  <si>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</si>
  <si>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</si>
  <si>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</si>
  <si>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</si>
  <si>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</si>
  <si>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</si>
  <si>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</si>
  <si>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</si>
  <si>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</si>
  <si>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</si>
  <si>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</si>
  <si>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</si>
  <si>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</si>
  <si>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</si>
  <si>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Salario Escala Resolución 29</t>
  </si>
  <si>
    <t>Salario Escala Resolución 14/2026 Salario Mínimo 3210</t>
  </si>
  <si>
    <t>Corrrelación Cargos Escala 29.</t>
  </si>
  <si>
    <t>XXVI</t>
  </si>
  <si>
    <t>XXVII</t>
  </si>
  <si>
    <t>XXVIII</t>
  </si>
  <si>
    <t>XXIX</t>
  </si>
  <si>
    <t>XXX</t>
  </si>
  <si>
    <t>XXXI</t>
  </si>
  <si>
    <t>XXXII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</si>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</sst>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\$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169" fontId="2" fillId="0" borderId="1" xfId="0" applyNumberFormat="1" applyFont="1" applyFill="1" applyBorder="1" applyAlignment="1">
      <alignment horizontal="center" vertical="center"/>
    </xf>
    <xf numFmtId="169" fontId="2" fillId="0" borderId="7" xfId="0" applyNumberFormat="1" applyFont="1" applyFill="1" applyBorder="1" applyAlignment="1">
      <alignment horizontal="center" vertical="center"/>
    </xf>
    <xf numFmtId="169" fontId="2" fillId="0" borderId="1" xfId="0" applyNumberFormat="1" applyFont="1" applyFill="1" applyBorder="1"/>
    <xf numFmtId="169" fontId="2" fillId="0" borderId="7" xfId="0" applyNumberFormat="1" applyFont="1" applyFill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9" formatCode="\$_-* #,##0.00\ _€_-;\-* #,##0.00\ _€_-;_-* &quot;-&quot;??\ _€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9" formatCode="\$_-* #,##0.00\ _€_-;\-* #,##0.00\ _€_-;_-* &quot;-&quot;??\ _€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9" formatCode="\$_-* #,##0.00\ _€_-;\-* #,##0.00\ _€_-;_-* &quot;-&quot;??\ _€_-;_-@_-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9" formatCode="\$_-* #,##0.00\ _€_-;\-* #,##0.00\ _€_-;_-* &quot;-&quot;??\ _€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57A61-507D-47B9-9944-0E6121408EA3}" name="Tabla1" displayName="Tabla1" ref="A1:E33" totalsRowShown="0" headerRowDxfId="5" headerRowBorderDxfId="7" tableBorderDxfId="8" totalsRowBorderDxfId="6">
  <autoFilter ref="A1:E33" xr:uid="{95257A61-507D-47B9-9944-0E6121408EA3}"/>
  <tableColumns count="5">
    <tableColumn id="1" xr3:uid="{AA1DAABC-C8C4-4718-8F44-EAA227B68A96}" name="Grupo de complejidad" dataDxfId="4"/>
    <tableColumn id="2" xr3:uid="{3925B52A-0F09-4EC1-B6E9-138B7A38C023}" name="Salario Escala Resolución 29" dataDxfId="3"/>
    <tableColumn id="3" xr3:uid="{965B8431-F84E-4288-9BEB-06E1E0D8CCD9}" name="Salario Escala Resolución 14/2026 Salario Mínimo 3210" dataDxfId="0">
      <calculatedColumnFormula>D2*C1</calculatedColumnFormula>
    </tableColumn>
    <tableColumn id="4" xr3:uid="{3178E454-2F7F-46DD-BB2E-5B8DF91DBA00}" name="Corrrelación Cargos Escala 29." dataDxfId="2">
      <calculatedColumnFormula>B2/B1</calculatedColumnFormula>
    </tableColumn>
    <tableColumn id="5" xr3:uid="{1F2A6D80-5B89-4019-AF47-3BB8089F5434}" name="Diferencia" dataDxfId="1">
      <calculatedColumnFormula>SUM(Tabla1[[#This Row],[Salario Escala Resolución 14/2026 Salario Mínimo 3210]],-C1)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1558-8B57-40BA-B8E3-4618663CF51C}">
  <dimension ref="A1:F33"/>
  <sheetViews>
    <sheetView tabSelected="1" zoomScale="90" zoomScaleNormal="90" workbookViewId="0">
      <selection activeCell="A3" sqref="A3"/>
    </sheetView>
  </sheetViews>
  <sheetFormatPr baseColWidth="10" defaultRowHeight="14.4" x14ac:dyDescent="0.3"/>
  <cols>
    <col min="1" max="1" width="21.109375" bestFit="1" customWidth="1"/>
    <col min="2" max="2" width="23.77734375" bestFit="1" customWidth="1"/>
    <col min="3" max="3" width="31.109375" bestFit="1" customWidth="1"/>
    <col min="4" max="4" width="24.21875" bestFit="1" customWidth="1"/>
    <col min="5" max="5" width="18.5546875" bestFit="1" customWidth="1"/>
  </cols>
  <sheetData>
    <row r="1" spans="1:5" ht="52.2" x14ac:dyDescent="0.3">
      <c r="A1" s="3" t="s">
        <v>0</v>
      </c>
      <c r="B1" s="4" t="s">
        <v>26</v>
      </c>
      <c r="C1" s="4" t="s">
        <v>27</v>
      </c>
      <c r="D1" s="4" t="s">
        <v>28</v>
      </c>
      <c r="E1" s="5" t="s">
        <v>36</v>
      </c>
    </row>
    <row r="2" spans="1:5" ht="17.399999999999999" x14ac:dyDescent="0.3">
      <c r="A2" s="2" t="s">
        <v>1</v>
      </c>
      <c r="B2" s="7">
        <v>2100</v>
      </c>
      <c r="C2" s="7">
        <v>3210</v>
      </c>
      <c r="D2" s="9"/>
      <c r="E2" s="7"/>
    </row>
    <row r="3" spans="1:5" ht="17.399999999999999" x14ac:dyDescent="0.3">
      <c r="A3" s="2" t="s">
        <v>2</v>
      </c>
      <c r="B3" s="7">
        <v>2200</v>
      </c>
      <c r="C3" s="7">
        <f>PRODUCT(Tabla1[[#This Row],[Corrrelación Cargos Escala 29.]],C2)</f>
        <v>3362.8571428571431</v>
      </c>
      <c r="D3" s="9">
        <f>B3/B2</f>
        <v>1.0476190476190477</v>
      </c>
      <c r="E3" s="7">
        <f>SUM(Tabla1[[#This Row],[Salario Escala Resolución 14/2026 Salario Mínimo 3210]],-C2)</f>
        <v>152.85714285714312</v>
      </c>
    </row>
    <row r="4" spans="1:5" ht="17.399999999999999" x14ac:dyDescent="0.3">
      <c r="A4" s="2" t="s">
        <v>3</v>
      </c>
      <c r="B4" s="7">
        <v>2300</v>
      </c>
      <c r="C4" s="7">
        <f>PRODUCT(Tabla1[[#This Row],[Corrrelación Cargos Escala 29.]],C3)</f>
        <v>3515.7142857142858</v>
      </c>
      <c r="D4" s="9">
        <f>B4/B3</f>
        <v>1.0454545454545454</v>
      </c>
      <c r="E4" s="7">
        <f>SUM(Tabla1[[#This Row],[Salario Escala Resolución 14/2026 Salario Mínimo 3210]],-C3)</f>
        <v>152.85714285714266</v>
      </c>
    </row>
    <row r="5" spans="1:5" ht="17.399999999999999" x14ac:dyDescent="0.3">
      <c r="A5" s="2" t="s">
        <v>4</v>
      </c>
      <c r="B5" s="7">
        <v>2420</v>
      </c>
      <c r="C5" s="7">
        <f>PRODUCT(Tabla1[[#This Row],[Corrrelación Cargos Escala 29.]],C4)</f>
        <v>3699.1428571428569</v>
      </c>
      <c r="D5" s="9">
        <f t="shared" ref="D5:D32" si="0">B5/B4</f>
        <v>1.0521739130434782</v>
      </c>
      <c r="E5" s="7">
        <f>SUM(Tabla1[[#This Row],[Salario Escala Resolución 14/2026 Salario Mínimo 3210]],-C4)</f>
        <v>183.4285714285711</v>
      </c>
    </row>
    <row r="6" spans="1:5" ht="17.399999999999999" x14ac:dyDescent="0.3">
      <c r="A6" s="2" t="s">
        <v>5</v>
      </c>
      <c r="B6" s="7">
        <v>2540</v>
      </c>
      <c r="C6" s="7">
        <f>PRODUCT(Tabla1[[#This Row],[Corrrelación Cargos Escala 29.]],C5)</f>
        <v>3882.5714285714284</v>
      </c>
      <c r="D6" s="9">
        <f t="shared" si="0"/>
        <v>1.0495867768595042</v>
      </c>
      <c r="E6" s="7">
        <f>SUM(Tabla1[[#This Row],[Salario Escala Resolución 14/2026 Salario Mínimo 3210]],-C5)</f>
        <v>183.42857142857156</v>
      </c>
    </row>
    <row r="7" spans="1:5" ht="17.399999999999999" x14ac:dyDescent="0.3">
      <c r="A7" s="2" t="s">
        <v>6</v>
      </c>
      <c r="B7" s="7">
        <v>2660</v>
      </c>
      <c r="C7" s="7">
        <f>PRODUCT(Tabla1[[#This Row],[Corrrelación Cargos Escala 29.]],C6)</f>
        <v>4065.9999999999995</v>
      </c>
      <c r="D7" s="9">
        <f t="shared" si="0"/>
        <v>1.0472440944881889</v>
      </c>
      <c r="E7" s="7">
        <f>SUM(Tabla1[[#This Row],[Salario Escala Resolución 14/2026 Salario Mínimo 3210]],-C6)</f>
        <v>183.4285714285711</v>
      </c>
    </row>
    <row r="8" spans="1:5" ht="17.399999999999999" x14ac:dyDescent="0.3">
      <c r="A8" s="2" t="s">
        <v>7</v>
      </c>
      <c r="B8" s="7">
        <v>2810</v>
      </c>
      <c r="C8" s="7">
        <f>PRODUCT(Tabla1[[#This Row],[Corrrelación Cargos Escala 29.]],C7)</f>
        <v>4295.2857142857138</v>
      </c>
      <c r="D8" s="9">
        <f t="shared" si="0"/>
        <v>1.0563909774436091</v>
      </c>
      <c r="E8" s="7">
        <f>SUM(Tabla1[[#This Row],[Salario Escala Resolución 14/2026 Salario Mínimo 3210]],-C7)</f>
        <v>229.28571428571422</v>
      </c>
    </row>
    <row r="9" spans="1:5" ht="17.399999999999999" x14ac:dyDescent="0.3">
      <c r="A9" s="2" t="s">
        <v>8</v>
      </c>
      <c r="B9" s="7">
        <v>2960</v>
      </c>
      <c r="C9" s="7">
        <f>PRODUCT(Tabla1[[#This Row],[Corrrelación Cargos Escala 29.]],C8)</f>
        <v>4524.5714285714275</v>
      </c>
      <c r="D9" s="9">
        <f t="shared" si="0"/>
        <v>1.0533807829181494</v>
      </c>
      <c r="E9" s="7">
        <f>SUM(Tabla1[[#This Row],[Salario Escala Resolución 14/2026 Salario Mínimo 3210]],-C8)</f>
        <v>229.28571428571377</v>
      </c>
    </row>
    <row r="10" spans="1:5" ht="17.399999999999999" x14ac:dyDescent="0.3">
      <c r="A10" s="2" t="s">
        <v>9</v>
      </c>
      <c r="B10" s="7">
        <v>3110</v>
      </c>
      <c r="C10" s="7">
        <f>PRODUCT(Tabla1[[#This Row],[Corrrelación Cargos Escala 29.]],C9)</f>
        <v>4753.8571428571413</v>
      </c>
      <c r="D10" s="9">
        <f t="shared" si="0"/>
        <v>1.0506756756756757</v>
      </c>
      <c r="E10" s="7">
        <f>SUM(Tabla1[[#This Row],[Salario Escala Resolución 14/2026 Salario Mínimo 3210]],-C9)</f>
        <v>229.28571428571377</v>
      </c>
    </row>
    <row r="11" spans="1:5" ht="17.399999999999999" x14ac:dyDescent="0.3">
      <c r="A11" s="2" t="s">
        <v>10</v>
      </c>
      <c r="B11" s="7">
        <v>3260</v>
      </c>
      <c r="C11" s="7">
        <f>PRODUCT(Tabla1[[#This Row],[Corrrelación Cargos Escala 29.]],C10)</f>
        <v>4983.1428571428551</v>
      </c>
      <c r="D11" s="9">
        <f t="shared" si="0"/>
        <v>1.0482315112540193</v>
      </c>
      <c r="E11" s="7">
        <f>SUM(Tabla1[[#This Row],[Salario Escala Resolución 14/2026 Salario Mínimo 3210]],-C10)</f>
        <v>229.28571428571377</v>
      </c>
    </row>
    <row r="12" spans="1:5" ht="17.399999999999999" x14ac:dyDescent="0.3">
      <c r="A12" s="2" t="s">
        <v>11</v>
      </c>
      <c r="B12" s="7">
        <v>3410</v>
      </c>
      <c r="C12" s="7">
        <f>PRODUCT(Tabla1[[#This Row],[Corrrelación Cargos Escala 29.]],C11)</f>
        <v>5212.4285714285688</v>
      </c>
      <c r="D12" s="9">
        <f t="shared" si="0"/>
        <v>1.0460122699386503</v>
      </c>
      <c r="E12" s="7">
        <f>SUM(Tabla1[[#This Row],[Salario Escala Resolución 14/2026 Salario Mínimo 3210]],-C11)</f>
        <v>229.28571428571377</v>
      </c>
    </row>
    <row r="13" spans="1:5" ht="17.399999999999999" x14ac:dyDescent="0.3">
      <c r="A13" s="2" t="s">
        <v>12</v>
      </c>
      <c r="B13" s="7">
        <v>3610</v>
      </c>
      <c r="C13" s="7">
        <f>PRODUCT(Tabla1[[#This Row],[Corrrelación Cargos Escala 29.]],C12)</f>
        <v>5518.1428571428542</v>
      </c>
      <c r="D13" s="9">
        <f t="shared" si="0"/>
        <v>1.0586510263929618</v>
      </c>
      <c r="E13" s="7">
        <f>SUM(Tabla1[[#This Row],[Salario Escala Resolución 14/2026 Salario Mínimo 3210]],-C12)</f>
        <v>305.71428571428532</v>
      </c>
    </row>
    <row r="14" spans="1:5" ht="17.399999999999999" x14ac:dyDescent="0.3">
      <c r="A14" s="2" t="s">
        <v>13</v>
      </c>
      <c r="B14" s="7">
        <v>3810</v>
      </c>
      <c r="C14" s="7">
        <f>PRODUCT(Tabla1[[#This Row],[Corrrelación Cargos Escala 29.]],C13)</f>
        <v>5823.8571428571395</v>
      </c>
      <c r="D14" s="9">
        <f t="shared" si="0"/>
        <v>1.0554016620498614</v>
      </c>
      <c r="E14" s="7">
        <f>SUM(Tabla1[[#This Row],[Salario Escala Resolución 14/2026 Salario Mínimo 3210]],-C13)</f>
        <v>305.71428571428532</v>
      </c>
    </row>
    <row r="15" spans="1:5" ht="17.399999999999999" x14ac:dyDescent="0.3">
      <c r="A15" s="2" t="s">
        <v>14</v>
      </c>
      <c r="B15" s="7">
        <v>4010</v>
      </c>
      <c r="C15" s="7">
        <f>PRODUCT(Tabla1[[#This Row],[Corrrelación Cargos Escala 29.]],C14)</f>
        <v>6129.5714285714257</v>
      </c>
      <c r="D15" s="9">
        <f t="shared" si="0"/>
        <v>1.05249343832021</v>
      </c>
      <c r="E15" s="7">
        <f>SUM(Tabla1[[#This Row],[Salario Escala Resolución 14/2026 Salario Mínimo 3210]],-C14)</f>
        <v>305.71428571428623</v>
      </c>
    </row>
    <row r="16" spans="1:5" ht="17.399999999999999" x14ac:dyDescent="0.3">
      <c r="A16" s="2" t="s">
        <v>15</v>
      </c>
      <c r="B16" s="7">
        <v>4210</v>
      </c>
      <c r="C16" s="7">
        <f>PRODUCT(Tabla1[[#This Row],[Corrrelación Cargos Escala 29.]],C15)</f>
        <v>6435.285714285711</v>
      </c>
      <c r="D16" s="9">
        <f t="shared" si="0"/>
        <v>1.0498753117206983</v>
      </c>
      <c r="E16" s="7">
        <f>SUM(Tabla1[[#This Row],[Salario Escala Resolución 14/2026 Salario Mínimo 3210]],-C15)</f>
        <v>305.71428571428532</v>
      </c>
    </row>
    <row r="17" spans="1:6" ht="17.399999999999999" x14ac:dyDescent="0.3">
      <c r="A17" s="2" t="s">
        <v>16</v>
      </c>
      <c r="B17" s="7">
        <v>4410</v>
      </c>
      <c r="C17" s="7">
        <f>PRODUCT(Tabla1[[#This Row],[Corrrelación Cargos Escala 29.]],C16)</f>
        <v>6740.9999999999964</v>
      </c>
      <c r="D17" s="9">
        <f t="shared" si="0"/>
        <v>1.0475059382422802</v>
      </c>
      <c r="E17" s="7">
        <f>SUM(Tabla1[[#This Row],[Salario Escala Resolución 14/2026 Salario Mínimo 3210]],-C16)</f>
        <v>305.71428571428532</v>
      </c>
    </row>
    <row r="18" spans="1:6" ht="17.399999999999999" x14ac:dyDescent="0.3">
      <c r="A18" s="2" t="s">
        <v>17</v>
      </c>
      <c r="B18" s="7">
        <v>4610</v>
      </c>
      <c r="C18" s="7">
        <f>PRODUCT(Tabla1[[#This Row],[Corrrelación Cargos Escala 29.]],C17)</f>
        <v>7046.7142857142817</v>
      </c>
      <c r="D18" s="9">
        <f t="shared" si="0"/>
        <v>1.0453514739229024</v>
      </c>
      <c r="E18" s="7">
        <f>SUM(Tabla1[[#This Row],[Salario Escala Resolución 14/2026 Salario Mínimo 3210]],-C17)</f>
        <v>305.71428571428532</v>
      </c>
    </row>
    <row r="19" spans="1:6" ht="17.399999999999999" x14ac:dyDescent="0.3">
      <c r="A19" s="2" t="s">
        <v>18</v>
      </c>
      <c r="B19" s="7">
        <v>4810</v>
      </c>
      <c r="C19" s="7">
        <f>PRODUCT(Tabla1[[#This Row],[Corrrelación Cargos Escala 29.]],C18)</f>
        <v>7352.4285714285661</v>
      </c>
      <c r="D19" s="9">
        <f t="shared" si="0"/>
        <v>1.0433839479392624</v>
      </c>
      <c r="E19" s="7">
        <f>SUM(Tabla1[[#This Row],[Salario Escala Resolución 14/2026 Salario Mínimo 3210]],-C18)</f>
        <v>305.71428571428442</v>
      </c>
      <c r="F19" s="1"/>
    </row>
    <row r="20" spans="1:6" ht="17.399999999999999" x14ac:dyDescent="0.3">
      <c r="A20" s="2" t="s">
        <v>19</v>
      </c>
      <c r="B20" s="7">
        <v>5060</v>
      </c>
      <c r="C20" s="7">
        <f>PRODUCT(Tabla1[[#This Row],[Corrrelación Cargos Escala 29.]],C19)</f>
        <v>7734.571428571423</v>
      </c>
      <c r="D20" s="9">
        <f t="shared" si="0"/>
        <v>1.0519750519750519</v>
      </c>
      <c r="E20" s="7">
        <f>SUM(Tabla1[[#This Row],[Salario Escala Resolución 14/2026 Salario Mínimo 3210]],-C19)</f>
        <v>382.14285714285688</v>
      </c>
      <c r="F20" s="1"/>
    </row>
    <row r="21" spans="1:6" ht="17.399999999999999" x14ac:dyDescent="0.3">
      <c r="A21" s="2" t="s">
        <v>20</v>
      </c>
      <c r="B21" s="7">
        <v>5310</v>
      </c>
      <c r="C21" s="7">
        <f>PRODUCT(Tabla1[[#This Row],[Corrrelación Cargos Escala 29.]],C20)</f>
        <v>8116.714285714279</v>
      </c>
      <c r="D21" s="9">
        <f t="shared" si="0"/>
        <v>1.0494071146245059</v>
      </c>
      <c r="E21" s="7">
        <f>SUM(Tabla1[[#This Row],[Salario Escala Resolución 14/2026 Salario Mínimo 3210]],-C20)</f>
        <v>382.14285714285597</v>
      </c>
      <c r="F21" s="1"/>
    </row>
    <row r="22" spans="1:6" ht="17.399999999999999" x14ac:dyDescent="0.3">
      <c r="A22" s="2" t="s">
        <v>21</v>
      </c>
      <c r="B22" s="7">
        <v>5560</v>
      </c>
      <c r="C22" s="7">
        <f>PRODUCT(Tabla1[[#This Row],[Corrrelación Cargos Escala 29.]],C21)</f>
        <v>8498.8571428571358</v>
      </c>
      <c r="D22" s="9">
        <f t="shared" si="0"/>
        <v>1.0470809792843692</v>
      </c>
      <c r="E22" s="7">
        <f>SUM(Tabla1[[#This Row],[Salario Escala Resolución 14/2026 Salario Mínimo 3210]],-C21)</f>
        <v>382.14285714285688</v>
      </c>
      <c r="F22" s="1"/>
    </row>
    <row r="23" spans="1:6" ht="17.399999999999999" x14ac:dyDescent="0.3">
      <c r="A23" s="2" t="s">
        <v>22</v>
      </c>
      <c r="B23" s="7">
        <v>5810</v>
      </c>
      <c r="C23" s="7">
        <f>PRODUCT(Tabla1[[#This Row],[Corrrelación Cargos Escala 29.]],C22)</f>
        <v>8880.9999999999927</v>
      </c>
      <c r="D23" s="9">
        <f t="shared" si="0"/>
        <v>1.0449640287769784</v>
      </c>
      <c r="E23" s="7">
        <f>SUM(Tabla1[[#This Row],[Salario Escala Resolución 14/2026 Salario Mínimo 3210]],-C22)</f>
        <v>382.14285714285688</v>
      </c>
    </row>
    <row r="24" spans="1:6" ht="17.399999999999999" x14ac:dyDescent="0.3">
      <c r="A24" s="2" t="s">
        <v>23</v>
      </c>
      <c r="B24" s="7">
        <v>6060</v>
      </c>
      <c r="C24" s="7">
        <f>PRODUCT(Tabla1[[#This Row],[Corrrelación Cargos Escala 29.]],C23)</f>
        <v>9263.1428571428478</v>
      </c>
      <c r="D24" s="9">
        <f t="shared" si="0"/>
        <v>1.0430292598967297</v>
      </c>
      <c r="E24" s="7">
        <f>SUM(Tabla1[[#This Row],[Salario Escala Resolución 14/2026 Salario Mínimo 3210]],-C23)</f>
        <v>382.14285714285506</v>
      </c>
    </row>
    <row r="25" spans="1:6" ht="17.399999999999999" x14ac:dyDescent="0.3">
      <c r="A25" s="2" t="s">
        <v>24</v>
      </c>
      <c r="B25" s="7">
        <v>6310</v>
      </c>
      <c r="C25" s="7">
        <f>PRODUCT(Tabla1[[#This Row],[Corrrelación Cargos Escala 29.]],C24)</f>
        <v>9645.2857142857047</v>
      </c>
      <c r="D25" s="9">
        <f>B25/B24</f>
        <v>1.0412541254125414</v>
      </c>
      <c r="E25" s="7">
        <f>SUM(Tabla1[[#This Row],[Salario Escala Resolución 14/2026 Salario Mínimo 3210]],-C24)</f>
        <v>382.14285714285688</v>
      </c>
    </row>
    <row r="26" spans="1:6" ht="17.399999999999999" x14ac:dyDescent="0.3">
      <c r="A26" s="2" t="s">
        <v>25</v>
      </c>
      <c r="B26" s="7">
        <v>6610</v>
      </c>
      <c r="C26" s="7">
        <f>PRODUCT(Tabla1[[#This Row],[Corrrelación Cargos Escala 29.]],C25)</f>
        <v>10103.857142857132</v>
      </c>
      <c r="D26" s="9">
        <f t="shared" si="0"/>
        <v>1.0475435816164818</v>
      </c>
      <c r="E26" s="7">
        <f>SUM(Tabla1[[#This Row],[Salario Escala Resolución 14/2026 Salario Mínimo 3210]],-C25)</f>
        <v>458.57142857142753</v>
      </c>
    </row>
    <row r="27" spans="1:6" ht="17.399999999999999" x14ac:dyDescent="0.3">
      <c r="A27" s="2" t="s">
        <v>29</v>
      </c>
      <c r="B27" s="7">
        <v>6960</v>
      </c>
      <c r="C27" s="7">
        <f>PRODUCT(Tabla1[[#This Row],[Corrrelación Cargos Escala 29.]],C26)</f>
        <v>10638.857142857132</v>
      </c>
      <c r="D27" s="9">
        <f t="shared" si="0"/>
        <v>1.0529500756429653</v>
      </c>
      <c r="E27" s="7">
        <f>SUM(Tabla1[[#This Row],[Salario Escala Resolución 14/2026 Salario Mínimo 3210]],-C26)</f>
        <v>535</v>
      </c>
    </row>
    <row r="28" spans="1:6" ht="17.399999999999999" x14ac:dyDescent="0.3">
      <c r="A28" s="2" t="s">
        <v>30</v>
      </c>
      <c r="B28" s="7">
        <v>7310</v>
      </c>
      <c r="C28" s="7">
        <f>PRODUCT(Tabla1[[#This Row],[Corrrelación Cargos Escala 29.]],C27)</f>
        <v>11173.857142857132</v>
      </c>
      <c r="D28" s="9">
        <f t="shared" si="0"/>
        <v>1.0502873563218391</v>
      </c>
      <c r="E28" s="7">
        <f>SUM(Tabla1[[#This Row],[Salario Escala Resolución 14/2026 Salario Mínimo 3210]],-C27)</f>
        <v>535</v>
      </c>
    </row>
    <row r="29" spans="1:6" ht="17.399999999999999" x14ac:dyDescent="0.3">
      <c r="A29" s="2" t="s">
        <v>31</v>
      </c>
      <c r="B29" s="7">
        <v>7660</v>
      </c>
      <c r="C29" s="7">
        <f>PRODUCT(Tabla1[[#This Row],[Corrrelación Cargos Escala 29.]],C28)</f>
        <v>11708.85714285713</v>
      </c>
      <c r="D29" s="9">
        <f t="shared" si="0"/>
        <v>1.0478796169630642</v>
      </c>
      <c r="E29" s="7">
        <f>SUM(Tabla1[[#This Row],[Salario Escala Resolución 14/2026 Salario Mínimo 3210]],-C28)</f>
        <v>534.99999999999818</v>
      </c>
    </row>
    <row r="30" spans="1:6" ht="17.399999999999999" x14ac:dyDescent="0.3">
      <c r="A30" s="2" t="s">
        <v>32</v>
      </c>
      <c r="B30" s="7">
        <v>8010</v>
      </c>
      <c r="C30" s="7">
        <f>PRODUCT(Tabla1[[#This Row],[Corrrelación Cargos Escala 29.]],C29)</f>
        <v>12243.857142857129</v>
      </c>
      <c r="D30" s="9">
        <f t="shared" si="0"/>
        <v>1.0456919060052219</v>
      </c>
      <c r="E30" s="7">
        <f>SUM(Tabla1[[#This Row],[Salario Escala Resolución 14/2026 Salario Mínimo 3210]],-C29)</f>
        <v>534.99999999999818</v>
      </c>
    </row>
    <row r="31" spans="1:6" ht="17.399999999999999" x14ac:dyDescent="0.3">
      <c r="A31" s="2" t="s">
        <v>33</v>
      </c>
      <c r="B31" s="7">
        <v>8510</v>
      </c>
      <c r="C31" s="7">
        <f>PRODUCT(Tabla1[[#This Row],[Corrrelación Cargos Escala 29.]],C30)</f>
        <v>13008.142857142841</v>
      </c>
      <c r="D31" s="9">
        <f t="shared" si="0"/>
        <v>1.062421972534332</v>
      </c>
      <c r="E31" s="7">
        <f>SUM(Tabla1[[#This Row],[Salario Escala Resolución 14/2026 Salario Mínimo 3210]],-C30)</f>
        <v>764.28571428571195</v>
      </c>
    </row>
    <row r="32" spans="1:6" ht="17.399999999999999" x14ac:dyDescent="0.3">
      <c r="A32" s="2" t="s">
        <v>34</v>
      </c>
      <c r="B32" s="7">
        <v>9010</v>
      </c>
      <c r="C32" s="7">
        <f>PRODUCT(Tabla1[[#This Row],[Corrrelación Cargos Escala 29.]],C31)</f>
        <v>13772.428571428552</v>
      </c>
      <c r="D32" s="9">
        <f t="shared" si="0"/>
        <v>1.0587544065804935</v>
      </c>
      <c r="E32" s="7">
        <f>SUM(Tabla1[[#This Row],[Salario Escala Resolución 14/2026 Salario Mínimo 3210]],-C31)</f>
        <v>764.28571428571195</v>
      </c>
    </row>
    <row r="33" spans="1:5" ht="17.399999999999999" x14ac:dyDescent="0.3">
      <c r="A33" s="6" t="s">
        <v>35</v>
      </c>
      <c r="B33" s="8">
        <v>9510</v>
      </c>
      <c r="C33" s="7">
        <f>PRODUCT(Tabla1[[#This Row],[Corrrelación Cargos Escala 29.]],C32)</f>
        <v>14536.714285714266</v>
      </c>
      <c r="D33" s="10">
        <f>B33/B32</f>
        <v>1.0554938956714761</v>
      </c>
      <c r="E33" s="7">
        <f>SUM(Tabla1[[#This Row],[Salario Escala Resolución 14/2026 Salario Mínimo 3210]],-C32)</f>
        <v>764.28571428571377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Daryll Perez Alvarez</dc:creator>
  <cp:lastModifiedBy>Yosvany Hernández Quintero</cp:lastModifiedBy>
  <dcterms:created xsi:type="dcterms:W3CDTF">2026-07-23T18:15:10Z</dcterms:created>
  <dcterms:modified xsi:type="dcterms:W3CDTF">2026-10-27T21:40:48Z</dcterms:modified>
</cp:coreProperties>
</file>