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on\Desktop\Capacitación Sistema Salarial. R14\TES\"/>
    </mc:Choice>
  </mc:AlternateContent>
  <xr:revisionPtr revIDLastSave="0" documentId="13_ncr:1_{C3EF09D3-125E-4EFD-BD0C-6CE8840BECCC}" xr6:coauthVersionLast="47" xr6:coauthVersionMax="47" xr10:uidLastSave="{00000000-0000-0000-0000-000000000000}"/>
  <bookViews>
    <workbookView xWindow="-90" yWindow="-90" windowWidth="20660" windowHeight="10380" activeTab="2" xr2:uid="{00000000-000D-0000-FFFF-FFFF00000000}"/>
  </bookViews>
  <sheets>
    <sheet name="Hoja1" sheetId="4" r:id="rId1"/>
    <sheet name="EMPLEO Y SALARIO" sheetId="1" r:id="rId2"/>
    <sheet name="P 14-B" sheetId="2" r:id="rId3"/>
    <sheet name="P 14-B (2)" sheetId="6" state="hidden" r:id="rId4"/>
    <sheet name="MODELO PLAN " sheetId="5" state="hidden" r:id="rId5"/>
    <sheet name="Modelo Indicadores Decreto 87" sheetId="3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CCD30">[1]Datos!$W$5:$W$28</definedName>
    <definedName name="__CCD60">[1]Datos!$X$5:$X$28</definedName>
    <definedName name="__CCD90">[1]Datos!$Y$5:$Y$28</definedName>
    <definedName name="__CCT30">[1]Datos!$S$5:$S$28</definedName>
    <definedName name="__CCT60">[1]Datos!$T$5:$T$28</definedName>
    <definedName name="__CCT90">[1]Datos!$U$5:$U$28</definedName>
    <definedName name="__CPD30">[1]Datos!$AE$5:$AE$28</definedName>
    <definedName name="__CPD60">[1]Datos!$AF$5:$AF$28</definedName>
    <definedName name="__CPD90">[1]Datos!$AG$5:$AG$28</definedName>
    <definedName name="__CPT30">[1]Datos!$AA$5:$AA$28</definedName>
    <definedName name="__CPT60">[1]Datos!$AB$5:$AB$28</definedName>
    <definedName name="__CPT90">[1]Datos!$AC$5:$AC$28</definedName>
    <definedName name="_CCD30">[1]Datos!$W$5:$W$28</definedName>
    <definedName name="_CCD60">[1]Datos!$X$5:$X$28</definedName>
    <definedName name="_CCD90">[1]Datos!$Y$5:$Y$28</definedName>
    <definedName name="_CCT30">[1]Datos!$S$5:$S$28</definedName>
    <definedName name="_CCT60">[1]Datos!$T$5:$T$28</definedName>
    <definedName name="_CCT90">[1]Datos!$U$5:$U$28</definedName>
    <definedName name="_CPD30">[1]Datos!$AE$5:$AE$28</definedName>
    <definedName name="_CPD60">[1]Datos!$AF$5:$AF$28</definedName>
    <definedName name="_CPD90">[1]Datos!$AG$5:$AG$28</definedName>
    <definedName name="_CPT30">[1]Datos!$AA$5:$AA$28</definedName>
    <definedName name="_CPT60">[1]Datos!$AB$5:$AB$28</definedName>
    <definedName name="_CPT90">[1]Datos!$AC$5:$AC$28</definedName>
    <definedName name="_m1">[1]Datos!$S$5:$S$28</definedName>
    <definedName name="_o1">[1]Datos!$V$5:$V$28</definedName>
    <definedName name="_r">[1]Datos!$X$5:$X$28</definedName>
    <definedName name="_y1">[1]Datos!$Y$5:$Y$28</definedName>
    <definedName name="_xlnm.Print_Area" localSheetId="1">'EMPLEO Y SALARIO'!$A$1:$P$43</definedName>
    <definedName name="_xlnm.Print_Area" localSheetId="4">'MODELO PLAN '!$A$1:$M$127</definedName>
    <definedName name="B_Pre" localSheetId="4">[2]!PB</definedName>
    <definedName name="B_Pre">[3]!PB</definedName>
    <definedName name="balance_type">1</definedName>
    <definedName name="BM_1" localSheetId="4">[4]!b_1</definedName>
    <definedName name="BM_1">[5]!b_1</definedName>
    <definedName name="BM_1b" localSheetId="4">[4]!b_1b</definedName>
    <definedName name="BM_1b">[5]!b_1b</definedName>
    <definedName name="BM_2" localSheetId="4">[4]!b_2</definedName>
    <definedName name="BM_2">[5]!b_2</definedName>
    <definedName name="BM_3" localSheetId="4">[4]!b_3</definedName>
    <definedName name="BM_3">[5]!b_3</definedName>
    <definedName name="BM_6" localSheetId="4">[4]!b_6</definedName>
    <definedName name="BM_6">[5]!b_6</definedName>
    <definedName name="BM_7" localSheetId="4">[4]!b_7</definedName>
    <definedName name="BM_7">[5]!b_7</definedName>
    <definedName name="BM_8" localSheetId="4">[4]!b_8</definedName>
    <definedName name="BM_8">[5]!b_8</definedName>
    <definedName name="calc">1</definedName>
    <definedName name="CCDT">[1]Datos!$V$5:$V$28</definedName>
    <definedName name="CCTT">[1]Datos!$R$5:$R$28</definedName>
    <definedName name="co">951</definedName>
    <definedName name="CPDT">[1]Datos!$AD$5:$AD$28</definedName>
    <definedName name="CPTT">[1]Datos!$Z$5:$Z$28</definedName>
    <definedName name="Criterio">[1]Datos!$E$5:$E$28</definedName>
    <definedName name="CUBAGOLF">#REF!</definedName>
    <definedName name="FY">1999</definedName>
    <definedName name="LILI">#REF!</definedName>
    <definedName name="MESES" localSheetId="5">#REF!</definedName>
    <definedName name="MESES" localSheetId="4">#REF!</definedName>
    <definedName name="MESES">#REF!</definedName>
    <definedName name="NOMES" localSheetId="5">#REF!</definedName>
    <definedName name="NOMES" localSheetId="4">#REF!</definedName>
    <definedName name="NOMES">#REF!</definedName>
    <definedName name="period">12</definedName>
    <definedName name="REY" localSheetId="5">#REF!</definedName>
    <definedName name="REY">#REF!</definedName>
    <definedName name="round">1</definedName>
    <definedName name="SALADO" localSheetId="5">#REF!</definedName>
    <definedName name="SALADO">#REF!</definedName>
    <definedName name="sd">[6]Datos!$S$5:$S$28</definedName>
    <definedName name="value">3</definedName>
    <definedName name="versionno">1</definedName>
    <definedName name="y">[1]Datos!$W$5:$W$28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4" l="1"/>
  <c r="F11" i="4"/>
  <c r="E16" i="4"/>
  <c r="E11" i="4"/>
  <c r="D11" i="4"/>
  <c r="C20" i="4"/>
  <c r="F6" i="4"/>
  <c r="P23" i="1"/>
  <c r="C9" i="4"/>
  <c r="E14" i="4"/>
  <c r="C6" i="4"/>
  <c r="T37" i="6"/>
  <c r="R50" i="6"/>
  <c r="Q50" i="6"/>
  <c r="N50" i="6"/>
  <c r="M50" i="6"/>
  <c r="J50" i="6"/>
  <c r="I50" i="6"/>
  <c r="E50" i="6"/>
  <c r="C48" i="6"/>
  <c r="S45" i="6"/>
  <c r="Q45" i="6"/>
  <c r="O45" i="6"/>
  <c r="M45" i="6"/>
  <c r="K45" i="6"/>
  <c r="I45" i="6"/>
  <c r="G45" i="6"/>
  <c r="E45" i="6"/>
  <c r="S44" i="6"/>
  <c r="S46" i="6" s="1"/>
  <c r="O44" i="6"/>
  <c r="O46" i="6" s="1"/>
  <c r="S39" i="6"/>
  <c r="S48" i="6" s="1"/>
  <c r="R39" i="6"/>
  <c r="R48" i="6" s="1"/>
  <c r="Q39" i="6"/>
  <c r="Q48" i="6" s="1"/>
  <c r="P39" i="6"/>
  <c r="O39" i="6"/>
  <c r="O48" i="6" s="1"/>
  <c r="N39" i="6"/>
  <c r="N48" i="6" s="1"/>
  <c r="M39" i="6"/>
  <c r="L39" i="6"/>
  <c r="K39" i="6"/>
  <c r="K48" i="6" s="1"/>
  <c r="J39" i="6"/>
  <c r="J48" i="6" s="1"/>
  <c r="I39" i="6"/>
  <c r="H39" i="6"/>
  <c r="G39" i="6"/>
  <c r="G48" i="6" s="1"/>
  <c r="F39" i="6"/>
  <c r="F48" i="6" s="1"/>
  <c r="E39" i="6"/>
  <c r="D39" i="6"/>
  <c r="T39" i="6" s="1"/>
  <c r="T38" i="6"/>
  <c r="S36" i="6"/>
  <c r="S40" i="6" s="1"/>
  <c r="S41" i="6" s="1"/>
  <c r="Q36" i="6"/>
  <c r="Q40" i="6" s="1"/>
  <c r="Q41" i="6" s="1"/>
  <c r="O36" i="6"/>
  <c r="O40" i="6" s="1"/>
  <c r="O41" i="6" s="1"/>
  <c r="K36" i="6"/>
  <c r="K40" i="6" s="1"/>
  <c r="K41" i="6" s="1"/>
  <c r="G36" i="6"/>
  <c r="G40" i="6" s="1"/>
  <c r="G41" i="6" s="1"/>
  <c r="S35" i="6"/>
  <c r="S50" i="6" s="1"/>
  <c r="R35" i="6"/>
  <c r="R45" i="6" s="1"/>
  <c r="Q35" i="6"/>
  <c r="P35" i="6"/>
  <c r="O35" i="6"/>
  <c r="O50" i="6" s="1"/>
  <c r="N35" i="6"/>
  <c r="N45" i="6" s="1"/>
  <c r="M35" i="6"/>
  <c r="L35" i="6"/>
  <c r="K35" i="6"/>
  <c r="K50" i="6" s="1"/>
  <c r="J35" i="6"/>
  <c r="J45" i="6" s="1"/>
  <c r="I35" i="6"/>
  <c r="H35" i="6"/>
  <c r="G35" i="6"/>
  <c r="G50" i="6" s="1"/>
  <c r="F35" i="6"/>
  <c r="F45" i="6" s="1"/>
  <c r="E35" i="6"/>
  <c r="D35" i="6"/>
  <c r="A35" i="6"/>
  <c r="S34" i="6"/>
  <c r="R34" i="6"/>
  <c r="R36" i="6" s="1"/>
  <c r="Q34" i="6"/>
  <c r="Q44" i="6" s="1"/>
  <c r="Q46" i="6" s="1"/>
  <c r="P34" i="6"/>
  <c r="P36" i="6" s="1"/>
  <c r="O34" i="6"/>
  <c r="N34" i="6"/>
  <c r="N36" i="6" s="1"/>
  <c r="M34" i="6"/>
  <c r="M36" i="6" s="1"/>
  <c r="M40" i="6" s="1"/>
  <c r="M41" i="6" s="1"/>
  <c r="L34" i="6"/>
  <c r="L36" i="6" s="1"/>
  <c r="K34" i="6"/>
  <c r="K44" i="6" s="1"/>
  <c r="K46" i="6" s="1"/>
  <c r="J34" i="6"/>
  <c r="J36" i="6" s="1"/>
  <c r="I34" i="6"/>
  <c r="I36" i="6" s="1"/>
  <c r="I40" i="6" s="1"/>
  <c r="I41" i="6" s="1"/>
  <c r="H34" i="6"/>
  <c r="H36" i="6" s="1"/>
  <c r="G34" i="6"/>
  <c r="G44" i="6" s="1"/>
  <c r="G46" i="6" s="1"/>
  <c r="F34" i="6"/>
  <c r="F36" i="6" s="1"/>
  <c r="E34" i="6"/>
  <c r="E36" i="6" s="1"/>
  <c r="D34" i="6"/>
  <c r="D36" i="6" s="1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34" i="6" s="1"/>
  <c r="T5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H1" i="6"/>
  <c r="T1" i="6" s="1"/>
  <c r="G34" i="2"/>
  <c r="E40" i="6" l="1"/>
  <c r="E41" i="6" s="1"/>
  <c r="N49" i="6"/>
  <c r="N53" i="6"/>
  <c r="N40" i="6"/>
  <c r="N41" i="6" s="1"/>
  <c r="G49" i="6"/>
  <c r="G53" i="6" s="1"/>
  <c r="K53" i="6"/>
  <c r="K49" i="6"/>
  <c r="O49" i="6"/>
  <c r="O53" i="6" s="1"/>
  <c r="S53" i="6"/>
  <c r="S49" i="6"/>
  <c r="F49" i="6"/>
  <c r="F53" i="6"/>
  <c r="J49" i="6"/>
  <c r="J53" i="6" s="1"/>
  <c r="R49" i="6"/>
  <c r="R53" i="6"/>
  <c r="F40" i="6"/>
  <c r="F41" i="6" s="1"/>
  <c r="T36" i="6"/>
  <c r="U36" i="6" s="1"/>
  <c r="T44" i="6"/>
  <c r="T46" i="6" s="1"/>
  <c r="D40" i="6"/>
  <c r="D48" i="6"/>
  <c r="H40" i="6"/>
  <c r="H41" i="6" s="1"/>
  <c r="H48" i="6"/>
  <c r="L40" i="6"/>
  <c r="L41" i="6" s="1"/>
  <c r="L48" i="6"/>
  <c r="P40" i="6"/>
  <c r="P41" i="6" s="1"/>
  <c r="P48" i="6"/>
  <c r="E48" i="6"/>
  <c r="I48" i="6"/>
  <c r="M48" i="6"/>
  <c r="Q49" i="6"/>
  <c r="Q53" i="6"/>
  <c r="T35" i="6"/>
  <c r="D44" i="6"/>
  <c r="D46" i="6" s="1"/>
  <c r="H44" i="6"/>
  <c r="H46" i="6" s="1"/>
  <c r="L44" i="6"/>
  <c r="L46" i="6" s="1"/>
  <c r="P44" i="6"/>
  <c r="P46" i="6" s="1"/>
  <c r="F50" i="6"/>
  <c r="J40" i="6"/>
  <c r="J41" i="6" s="1"/>
  <c r="R40" i="6"/>
  <c r="R41" i="6" s="1"/>
  <c r="E44" i="6"/>
  <c r="E46" i="6" s="1"/>
  <c r="I44" i="6"/>
  <c r="I46" i="6" s="1"/>
  <c r="M44" i="6"/>
  <c r="M46" i="6" s="1"/>
  <c r="D45" i="6"/>
  <c r="H45" i="6"/>
  <c r="L45" i="6"/>
  <c r="P45" i="6"/>
  <c r="F44" i="6"/>
  <c r="F46" i="6" s="1"/>
  <c r="J44" i="6"/>
  <c r="J46" i="6" s="1"/>
  <c r="N44" i="6"/>
  <c r="N46" i="6" s="1"/>
  <c r="R44" i="6"/>
  <c r="R46" i="6" s="1"/>
  <c r="D50" i="6"/>
  <c r="H50" i="6"/>
  <c r="L50" i="6"/>
  <c r="P50" i="6"/>
  <c r="G35" i="2"/>
  <c r="N10" i="4"/>
  <c r="N6" i="4"/>
  <c r="E13" i="4"/>
  <c r="E20" i="4"/>
  <c r="E21" i="4"/>
  <c r="L7" i="4"/>
  <c r="M7" i="4" s="1"/>
  <c r="L6" i="4"/>
  <c r="L8" i="4" s="1"/>
  <c r="L9" i="4" s="1"/>
  <c r="P49" i="6" l="1"/>
  <c r="P53" i="6" s="1"/>
  <c r="H49" i="6"/>
  <c r="H53" i="6" s="1"/>
  <c r="E49" i="6"/>
  <c r="E53" i="6"/>
  <c r="D41" i="6"/>
  <c r="T40" i="6"/>
  <c r="T41" i="6" s="1"/>
  <c r="M49" i="6"/>
  <c r="M53" i="6"/>
  <c r="T2" i="6"/>
  <c r="T50" i="6"/>
  <c r="T45" i="6"/>
  <c r="I49" i="6"/>
  <c r="I53" i="6"/>
  <c r="L49" i="6"/>
  <c r="L53" i="6" s="1"/>
  <c r="D49" i="6"/>
  <c r="D53" i="6" s="1"/>
  <c r="T48" i="6"/>
  <c r="E15" i="4"/>
  <c r="M6" i="4"/>
  <c r="M8" i="4" s="1"/>
  <c r="M10" i="4" s="1"/>
  <c r="J7" i="4"/>
  <c r="C48" i="2"/>
  <c r="O34" i="2"/>
  <c r="P34" i="2"/>
  <c r="Q34" i="2"/>
  <c r="R34" i="2"/>
  <c r="S34" i="2"/>
  <c r="T49" i="6" l="1"/>
  <c r="T53" i="6" s="1"/>
  <c r="H1" i="2"/>
  <c r="D69" i="5"/>
  <c r="E69" i="5"/>
  <c r="F69" i="5" s="1"/>
  <c r="D70" i="5"/>
  <c r="E70" i="5"/>
  <c r="D71" i="5"/>
  <c r="E71" i="5"/>
  <c r="F71" i="5" s="1"/>
  <c r="D72" i="5"/>
  <c r="E72" i="5"/>
  <c r="D73" i="5"/>
  <c r="E73" i="5"/>
  <c r="F73" i="5" s="1"/>
  <c r="D74" i="5"/>
  <c r="D82" i="5" s="1"/>
  <c r="D81" i="5" s="1"/>
  <c r="E74" i="5"/>
  <c r="D75" i="5"/>
  <c r="E75" i="5"/>
  <c r="F75" i="5" s="1"/>
  <c r="D76" i="5"/>
  <c r="E76" i="5"/>
  <c r="E68" i="5"/>
  <c r="D68" i="5"/>
  <c r="E66" i="5"/>
  <c r="D66" i="5"/>
  <c r="E64" i="5"/>
  <c r="D64" i="5"/>
  <c r="E61" i="5"/>
  <c r="F61" i="5" s="1"/>
  <c r="D61" i="5"/>
  <c r="E60" i="5"/>
  <c r="D60" i="5"/>
  <c r="E51" i="5"/>
  <c r="F51" i="5" s="1"/>
  <c r="D51" i="5"/>
  <c r="E50" i="5"/>
  <c r="D50" i="5"/>
  <c r="D52" i="5" s="1"/>
  <c r="E34" i="5"/>
  <c r="F34" i="5" s="1"/>
  <c r="D34" i="5"/>
  <c r="E32" i="5"/>
  <c r="E33" i="5"/>
  <c r="E16" i="5" s="1"/>
  <c r="D33" i="5"/>
  <c r="D16" i="5" s="1"/>
  <c r="D32" i="5"/>
  <c r="E29" i="5"/>
  <c r="E30" i="5"/>
  <c r="E31" i="5" s="1"/>
  <c r="E35" i="5" s="1"/>
  <c r="D30" i="5"/>
  <c r="D31" i="5" s="1"/>
  <c r="D35" i="5" s="1"/>
  <c r="D29" i="5"/>
  <c r="E27" i="5"/>
  <c r="D27" i="5"/>
  <c r="D10" i="5" s="1"/>
  <c r="E23" i="5"/>
  <c r="E25" i="5" s="1"/>
  <c r="E24" i="5"/>
  <c r="D24" i="5"/>
  <c r="D23" i="5"/>
  <c r="D25" i="5" s="1"/>
  <c r="E20" i="5"/>
  <c r="E21" i="5"/>
  <c r="D21" i="5"/>
  <c r="D20" i="5"/>
  <c r="F2" i="5"/>
  <c r="M124" i="5"/>
  <c r="L124" i="5"/>
  <c r="K124" i="5"/>
  <c r="I124" i="5"/>
  <c r="F124" i="5"/>
  <c r="M123" i="5"/>
  <c r="L123" i="5"/>
  <c r="K123" i="5"/>
  <c r="I123" i="5"/>
  <c r="F123" i="5"/>
  <c r="H122" i="5"/>
  <c r="I122" i="5" s="1"/>
  <c r="G122" i="5"/>
  <c r="E122" i="5"/>
  <c r="D122" i="5"/>
  <c r="C122" i="5"/>
  <c r="M120" i="5"/>
  <c r="L120" i="5"/>
  <c r="K120" i="5"/>
  <c r="I120" i="5"/>
  <c r="F120" i="5"/>
  <c r="M119" i="5"/>
  <c r="L119" i="5"/>
  <c r="K119" i="5"/>
  <c r="I119" i="5"/>
  <c r="F119" i="5"/>
  <c r="M118" i="5"/>
  <c r="L118" i="5"/>
  <c r="K118" i="5"/>
  <c r="I118" i="5"/>
  <c r="F118" i="5"/>
  <c r="M117" i="5"/>
  <c r="L117" i="5"/>
  <c r="K117" i="5"/>
  <c r="I117" i="5"/>
  <c r="F117" i="5"/>
  <c r="M116" i="5"/>
  <c r="L116" i="5"/>
  <c r="K116" i="5"/>
  <c r="I116" i="5"/>
  <c r="F116" i="5"/>
  <c r="M115" i="5"/>
  <c r="L115" i="5"/>
  <c r="K115" i="5"/>
  <c r="I115" i="5"/>
  <c r="F115" i="5"/>
  <c r="M114" i="5"/>
  <c r="L114" i="5"/>
  <c r="K114" i="5"/>
  <c r="I114" i="5"/>
  <c r="F114" i="5"/>
  <c r="M113" i="5"/>
  <c r="L113" i="5"/>
  <c r="K113" i="5"/>
  <c r="I113" i="5"/>
  <c r="F113" i="5"/>
  <c r="M112" i="5"/>
  <c r="L112" i="5"/>
  <c r="K112" i="5"/>
  <c r="I112" i="5"/>
  <c r="F112" i="5"/>
  <c r="M111" i="5"/>
  <c r="L111" i="5"/>
  <c r="K111" i="5"/>
  <c r="I111" i="5"/>
  <c r="F111" i="5"/>
  <c r="M110" i="5"/>
  <c r="L110" i="5"/>
  <c r="K110" i="5"/>
  <c r="I110" i="5"/>
  <c r="F110" i="5"/>
  <c r="M109" i="5"/>
  <c r="L109" i="5"/>
  <c r="K109" i="5"/>
  <c r="I109" i="5"/>
  <c r="F109" i="5"/>
  <c r="M106" i="5"/>
  <c r="L106" i="5"/>
  <c r="K106" i="5"/>
  <c r="I106" i="5"/>
  <c r="F106" i="5"/>
  <c r="M105" i="5"/>
  <c r="L105" i="5"/>
  <c r="K105" i="5"/>
  <c r="I105" i="5"/>
  <c r="F105" i="5"/>
  <c r="M104" i="5"/>
  <c r="L104" i="5"/>
  <c r="K104" i="5"/>
  <c r="I104" i="5"/>
  <c r="F104" i="5"/>
  <c r="J103" i="5"/>
  <c r="M103" i="5" s="1"/>
  <c r="H103" i="5"/>
  <c r="G103" i="5"/>
  <c r="F103" i="5"/>
  <c r="C103" i="5"/>
  <c r="K103" i="5" s="1"/>
  <c r="M100" i="5"/>
  <c r="L100" i="5"/>
  <c r="K100" i="5"/>
  <c r="I100" i="5"/>
  <c r="F100" i="5"/>
  <c r="M98" i="5"/>
  <c r="L98" i="5"/>
  <c r="K98" i="5"/>
  <c r="I98" i="5"/>
  <c r="F98" i="5"/>
  <c r="M97" i="5"/>
  <c r="L97" i="5"/>
  <c r="K97" i="5"/>
  <c r="I97" i="5"/>
  <c r="D97" i="5"/>
  <c r="F97" i="5" s="1"/>
  <c r="M96" i="5"/>
  <c r="L96" i="5"/>
  <c r="K96" i="5"/>
  <c r="I96" i="5"/>
  <c r="F96" i="5"/>
  <c r="J95" i="5"/>
  <c r="L95" i="5" s="1"/>
  <c r="H95" i="5"/>
  <c r="G95" i="5"/>
  <c r="E95" i="5"/>
  <c r="F95" i="5" s="1"/>
  <c r="D95" i="5"/>
  <c r="C95" i="5"/>
  <c r="K95" i="5" s="1"/>
  <c r="M94" i="5"/>
  <c r="L94" i="5"/>
  <c r="K94" i="5"/>
  <c r="I94" i="5"/>
  <c r="F94" i="5"/>
  <c r="M93" i="5"/>
  <c r="L93" i="5"/>
  <c r="K93" i="5"/>
  <c r="I93" i="5"/>
  <c r="F93" i="5"/>
  <c r="J92" i="5"/>
  <c r="H92" i="5"/>
  <c r="I92" i="5" s="1"/>
  <c r="G92" i="5"/>
  <c r="F92" i="5"/>
  <c r="E92" i="5"/>
  <c r="D92" i="5"/>
  <c r="C92" i="5"/>
  <c r="M91" i="5"/>
  <c r="L91" i="5"/>
  <c r="K91" i="5"/>
  <c r="I91" i="5"/>
  <c r="F91" i="5"/>
  <c r="M90" i="5"/>
  <c r="L90" i="5"/>
  <c r="K90" i="5"/>
  <c r="I90" i="5"/>
  <c r="F90" i="5"/>
  <c r="M89" i="5"/>
  <c r="L89" i="5"/>
  <c r="K89" i="5"/>
  <c r="I89" i="5"/>
  <c r="F89" i="5"/>
  <c r="J88" i="5"/>
  <c r="M88" i="5" s="1"/>
  <c r="H88" i="5"/>
  <c r="G88" i="5"/>
  <c r="G83" i="5" s="1"/>
  <c r="E88" i="5"/>
  <c r="D88" i="5"/>
  <c r="F88" i="5" s="1"/>
  <c r="C88" i="5"/>
  <c r="M87" i="5"/>
  <c r="L87" i="5"/>
  <c r="K87" i="5"/>
  <c r="I87" i="5"/>
  <c r="F87" i="5"/>
  <c r="M86" i="5"/>
  <c r="L86" i="5"/>
  <c r="K86" i="5"/>
  <c r="I86" i="5"/>
  <c r="F86" i="5"/>
  <c r="M85" i="5"/>
  <c r="L85" i="5"/>
  <c r="K85" i="5"/>
  <c r="I85" i="5"/>
  <c r="F85" i="5"/>
  <c r="M84" i="5"/>
  <c r="L84" i="5"/>
  <c r="K84" i="5"/>
  <c r="I84" i="5"/>
  <c r="F84" i="5"/>
  <c r="E83" i="5"/>
  <c r="C83" i="5"/>
  <c r="J82" i="5"/>
  <c r="M82" i="5" s="1"/>
  <c r="H82" i="5"/>
  <c r="I82" i="5" s="1"/>
  <c r="C81" i="5"/>
  <c r="M80" i="5"/>
  <c r="L80" i="5"/>
  <c r="K80" i="5"/>
  <c r="I80" i="5"/>
  <c r="F80" i="5"/>
  <c r="G79" i="5"/>
  <c r="C79" i="5"/>
  <c r="M76" i="5"/>
  <c r="L76" i="5"/>
  <c r="K76" i="5"/>
  <c r="I76" i="5"/>
  <c r="H74" i="5"/>
  <c r="I74" i="5" s="1"/>
  <c r="M73" i="5"/>
  <c r="L73" i="5"/>
  <c r="K73" i="5"/>
  <c r="I73" i="5"/>
  <c r="M72" i="5"/>
  <c r="L72" i="5"/>
  <c r="K72" i="5"/>
  <c r="I72" i="5"/>
  <c r="M71" i="5"/>
  <c r="L71" i="5"/>
  <c r="K71" i="5"/>
  <c r="I71" i="5"/>
  <c r="M70" i="5"/>
  <c r="L70" i="5"/>
  <c r="K70" i="5"/>
  <c r="I70" i="5"/>
  <c r="J69" i="5"/>
  <c r="H69" i="5"/>
  <c r="I69" i="5" s="1"/>
  <c r="M65" i="5"/>
  <c r="J65" i="5"/>
  <c r="L65" i="5" s="1"/>
  <c r="H65" i="5"/>
  <c r="G65" i="5"/>
  <c r="I65" i="5" s="1"/>
  <c r="C65" i="5"/>
  <c r="K65" i="5" s="1"/>
  <c r="M64" i="5"/>
  <c r="L64" i="5"/>
  <c r="K64" i="5"/>
  <c r="I64" i="5"/>
  <c r="F64" i="5"/>
  <c r="G63" i="5"/>
  <c r="C63" i="5"/>
  <c r="G62" i="5"/>
  <c r="C62" i="5"/>
  <c r="M61" i="5"/>
  <c r="L61" i="5"/>
  <c r="K61" i="5"/>
  <c r="I61" i="5"/>
  <c r="H60" i="5"/>
  <c r="F60" i="5"/>
  <c r="J58" i="5"/>
  <c r="M58" i="5" s="1"/>
  <c r="H58" i="5"/>
  <c r="L58" i="5" s="1"/>
  <c r="G58" i="5"/>
  <c r="F58" i="5"/>
  <c r="C58" i="5"/>
  <c r="J57" i="5"/>
  <c r="M57" i="5" s="1"/>
  <c r="H57" i="5"/>
  <c r="G57" i="5"/>
  <c r="F57" i="5"/>
  <c r="C57" i="5"/>
  <c r="M56" i="5"/>
  <c r="L56" i="5"/>
  <c r="K56" i="5"/>
  <c r="I56" i="5"/>
  <c r="F56" i="5"/>
  <c r="M55" i="5"/>
  <c r="L55" i="5"/>
  <c r="K55" i="5"/>
  <c r="I55" i="5"/>
  <c r="F55" i="5"/>
  <c r="I54" i="5"/>
  <c r="F54" i="5"/>
  <c r="H53" i="5"/>
  <c r="I53" i="5" s="1"/>
  <c r="G53" i="5"/>
  <c r="C53" i="5"/>
  <c r="K53" i="5" s="1"/>
  <c r="H52" i="5"/>
  <c r="I52" i="5" s="1"/>
  <c r="G52" i="5"/>
  <c r="C52" i="5"/>
  <c r="K52" i="5" s="1"/>
  <c r="K51" i="5"/>
  <c r="J51" i="5"/>
  <c r="J129" i="5" s="1"/>
  <c r="I51" i="5"/>
  <c r="M50" i="5"/>
  <c r="K50" i="5"/>
  <c r="J50" i="5"/>
  <c r="L50" i="5" s="1"/>
  <c r="I50" i="5"/>
  <c r="K47" i="5"/>
  <c r="J47" i="5"/>
  <c r="H47" i="5"/>
  <c r="M47" i="5" s="1"/>
  <c r="G47" i="5"/>
  <c r="F47" i="5"/>
  <c r="C47" i="5"/>
  <c r="F46" i="5"/>
  <c r="M45" i="5"/>
  <c r="L45" i="5"/>
  <c r="K45" i="5"/>
  <c r="I45" i="5"/>
  <c r="F45" i="5"/>
  <c r="M44" i="5"/>
  <c r="L44" i="5"/>
  <c r="K44" i="5"/>
  <c r="I44" i="5"/>
  <c r="F44" i="5"/>
  <c r="M43" i="5"/>
  <c r="L43" i="5"/>
  <c r="K43" i="5"/>
  <c r="I43" i="5"/>
  <c r="F43" i="5"/>
  <c r="J42" i="5"/>
  <c r="J46" i="5" s="1"/>
  <c r="H42" i="5"/>
  <c r="G42" i="5"/>
  <c r="G46" i="5" s="1"/>
  <c r="F42" i="5"/>
  <c r="C42" i="5"/>
  <c r="C46" i="5" s="1"/>
  <c r="M41" i="5"/>
  <c r="L41" i="5"/>
  <c r="K41" i="5"/>
  <c r="I41" i="5"/>
  <c r="F41" i="5"/>
  <c r="M40" i="5"/>
  <c r="L40" i="5"/>
  <c r="K40" i="5"/>
  <c r="I40" i="5"/>
  <c r="F40" i="5"/>
  <c r="M39" i="5"/>
  <c r="L39" i="5"/>
  <c r="K39" i="5"/>
  <c r="I39" i="5"/>
  <c r="F39" i="5"/>
  <c r="M38" i="5"/>
  <c r="L38" i="5"/>
  <c r="K38" i="5"/>
  <c r="I38" i="5"/>
  <c r="F38" i="5"/>
  <c r="I37" i="5"/>
  <c r="F37" i="5"/>
  <c r="J36" i="5"/>
  <c r="H36" i="5"/>
  <c r="D36" i="5"/>
  <c r="C36" i="5"/>
  <c r="M34" i="5"/>
  <c r="L34" i="5"/>
  <c r="K34" i="5"/>
  <c r="G34" i="5"/>
  <c r="I34" i="5" s="1"/>
  <c r="K33" i="5"/>
  <c r="J33" i="5"/>
  <c r="I33" i="5"/>
  <c r="M32" i="5"/>
  <c r="L32" i="5"/>
  <c r="K32" i="5"/>
  <c r="I32" i="5"/>
  <c r="M31" i="5"/>
  <c r="J31" i="5"/>
  <c r="H31" i="5"/>
  <c r="H35" i="5" s="1"/>
  <c r="G31" i="5"/>
  <c r="G35" i="5" s="1"/>
  <c r="C31" i="5"/>
  <c r="C35" i="5" s="1"/>
  <c r="M30" i="5"/>
  <c r="L30" i="5"/>
  <c r="K30" i="5"/>
  <c r="I30" i="5"/>
  <c r="M29" i="5"/>
  <c r="L29" i="5"/>
  <c r="K29" i="5"/>
  <c r="I29" i="5"/>
  <c r="J28" i="5"/>
  <c r="H28" i="5"/>
  <c r="I28" i="5" s="1"/>
  <c r="G28" i="5"/>
  <c r="G11" i="5" s="1"/>
  <c r="E28" i="5"/>
  <c r="E11" i="5" s="1"/>
  <c r="C28" i="5"/>
  <c r="C11" i="5" s="1"/>
  <c r="M27" i="5"/>
  <c r="L27" i="5"/>
  <c r="K27" i="5"/>
  <c r="I27" i="5"/>
  <c r="J25" i="5"/>
  <c r="H25" i="5"/>
  <c r="K25" i="5" s="1"/>
  <c r="G25" i="5"/>
  <c r="C25" i="5"/>
  <c r="M24" i="5"/>
  <c r="L24" i="5"/>
  <c r="K24" i="5"/>
  <c r="I24" i="5"/>
  <c r="M23" i="5"/>
  <c r="L23" i="5"/>
  <c r="K23" i="5"/>
  <c r="I23" i="5"/>
  <c r="H22" i="5"/>
  <c r="G22" i="5"/>
  <c r="K21" i="5"/>
  <c r="J21" i="5"/>
  <c r="I21" i="5"/>
  <c r="J20" i="5"/>
  <c r="I20" i="5"/>
  <c r="H20" i="5"/>
  <c r="G20" i="5"/>
  <c r="C20" i="5"/>
  <c r="L20" i="5" s="1"/>
  <c r="K17" i="5"/>
  <c r="J17" i="5"/>
  <c r="L17" i="5" s="1"/>
  <c r="H17" i="5"/>
  <c r="G17" i="5"/>
  <c r="D17" i="5"/>
  <c r="C17" i="5"/>
  <c r="K16" i="5"/>
  <c r="H16" i="5"/>
  <c r="G16" i="5"/>
  <c r="C16" i="5"/>
  <c r="M15" i="5"/>
  <c r="J15" i="5"/>
  <c r="H15" i="5"/>
  <c r="H18" i="5" s="1"/>
  <c r="G15" i="5"/>
  <c r="I15" i="5" s="1"/>
  <c r="E15" i="5"/>
  <c r="D15" i="5"/>
  <c r="C15" i="5"/>
  <c r="H14" i="5"/>
  <c r="J13" i="5"/>
  <c r="H13" i="5"/>
  <c r="K13" i="5" s="1"/>
  <c r="G13" i="5"/>
  <c r="C13" i="5"/>
  <c r="J12" i="5"/>
  <c r="J19" i="5" s="1"/>
  <c r="H12" i="5"/>
  <c r="G12" i="5"/>
  <c r="E12" i="5"/>
  <c r="D12" i="5"/>
  <c r="C12" i="5"/>
  <c r="J11" i="5"/>
  <c r="H11" i="5"/>
  <c r="I11" i="5" s="1"/>
  <c r="J10" i="5"/>
  <c r="L10" i="5" s="1"/>
  <c r="H10" i="5"/>
  <c r="G10" i="5"/>
  <c r="E10" i="5"/>
  <c r="C10" i="5"/>
  <c r="E17" i="5" l="1"/>
  <c r="D13" i="5"/>
  <c r="F30" i="5"/>
  <c r="F20" i="5"/>
  <c r="D65" i="5"/>
  <c r="L11" i="5"/>
  <c r="D22" i="5"/>
  <c r="E36" i="5"/>
  <c r="E53" i="5"/>
  <c r="E62" i="5"/>
  <c r="E65" i="5"/>
  <c r="F68" i="5"/>
  <c r="E22" i="5"/>
  <c r="F22" i="5" s="1"/>
  <c r="F66" i="5"/>
  <c r="F76" i="5"/>
  <c r="F74" i="5"/>
  <c r="F72" i="5"/>
  <c r="F70" i="5"/>
  <c r="D63" i="5"/>
  <c r="F21" i="5"/>
  <c r="E63" i="5"/>
  <c r="F122" i="5"/>
  <c r="F24" i="5"/>
  <c r="D28" i="5"/>
  <c r="D11" i="5" s="1"/>
  <c r="F11" i="5" s="1"/>
  <c r="F32" i="5"/>
  <c r="D53" i="5"/>
  <c r="F23" i="5"/>
  <c r="F33" i="5"/>
  <c r="E52" i="5"/>
  <c r="F52" i="5" s="1"/>
  <c r="G14" i="5"/>
  <c r="G19" i="5"/>
  <c r="K28" i="5"/>
  <c r="I31" i="5"/>
  <c r="L51" i="5"/>
  <c r="K74" i="5"/>
  <c r="J83" i="5"/>
  <c r="D101" i="5"/>
  <c r="D99" i="5" s="1"/>
  <c r="H101" i="5"/>
  <c r="K101" i="5" s="1"/>
  <c r="D62" i="5"/>
  <c r="F62" i="5" s="1"/>
  <c r="H4" i="5"/>
  <c r="H3" i="5" s="1"/>
  <c r="C14" i="5"/>
  <c r="K14" i="5" s="1"/>
  <c r="I12" i="5"/>
  <c r="E13" i="5"/>
  <c r="F27" i="5"/>
  <c r="F29" i="5"/>
  <c r="L31" i="5"/>
  <c r="K36" i="5"/>
  <c r="M36" i="5"/>
  <c r="M51" i="5"/>
  <c r="I57" i="5"/>
  <c r="K88" i="5"/>
  <c r="E101" i="5"/>
  <c r="M92" i="5"/>
  <c r="I95" i="5"/>
  <c r="K10" i="5"/>
  <c r="G18" i="5"/>
  <c r="I18" i="5" s="1"/>
  <c r="K11" i="5"/>
  <c r="H75" i="5"/>
  <c r="I10" i="5"/>
  <c r="L13" i="5"/>
  <c r="C18" i="5"/>
  <c r="K18" i="5" s="1"/>
  <c r="I22" i="5"/>
  <c r="F50" i="5"/>
  <c r="J52" i="5"/>
  <c r="M52" i="5" s="1"/>
  <c r="K58" i="5"/>
  <c r="I58" i="5"/>
  <c r="L88" i="5"/>
  <c r="C101" i="5"/>
  <c r="C107" i="5" s="1"/>
  <c r="G101" i="5"/>
  <c r="G107" i="5" s="1"/>
  <c r="M95" i="5"/>
  <c r="I103" i="5"/>
  <c r="E82" i="5"/>
  <c r="D79" i="5"/>
  <c r="F25" i="5"/>
  <c r="E19" i="5"/>
  <c r="F16" i="5"/>
  <c r="F15" i="5"/>
  <c r="F10" i="5"/>
  <c r="F13" i="5"/>
  <c r="F36" i="5"/>
  <c r="F12" i="5"/>
  <c r="F17" i="5"/>
  <c r="F35" i="5"/>
  <c r="F31" i="5"/>
  <c r="D19" i="5"/>
  <c r="E14" i="5"/>
  <c r="E18" i="5" s="1"/>
  <c r="D14" i="5"/>
  <c r="D18" i="5" s="1"/>
  <c r="M33" i="5"/>
  <c r="L33" i="5"/>
  <c r="K42" i="5"/>
  <c r="M42" i="5"/>
  <c r="I42" i="5"/>
  <c r="E99" i="5"/>
  <c r="E107" i="5"/>
  <c r="F101" i="5"/>
  <c r="M11" i="5"/>
  <c r="K12" i="5"/>
  <c r="I14" i="5"/>
  <c r="C19" i="5"/>
  <c r="L19" i="5" s="1"/>
  <c r="H19" i="5"/>
  <c r="M17" i="5"/>
  <c r="I17" i="5"/>
  <c r="K35" i="5"/>
  <c r="I35" i="5"/>
  <c r="J4" i="5"/>
  <c r="J3" i="5" s="1"/>
  <c r="C22" i="5"/>
  <c r="K22" i="5" s="1"/>
  <c r="M10" i="5"/>
  <c r="M13" i="5"/>
  <c r="I13" i="5"/>
  <c r="I16" i="5"/>
  <c r="J22" i="5"/>
  <c r="M21" i="5"/>
  <c r="L21" i="5"/>
  <c r="J122" i="5"/>
  <c r="I25" i="5"/>
  <c r="J35" i="5"/>
  <c r="L42" i="5"/>
  <c r="M69" i="5"/>
  <c r="L69" i="5"/>
  <c r="J68" i="5"/>
  <c r="G99" i="5"/>
  <c r="M12" i="5"/>
  <c r="J14" i="5"/>
  <c r="L12" i="5"/>
  <c r="M28" i="5"/>
  <c r="L28" i="5"/>
  <c r="K75" i="5"/>
  <c r="I75" i="5"/>
  <c r="L15" i="5"/>
  <c r="J18" i="5"/>
  <c r="J16" i="5"/>
  <c r="K20" i="5"/>
  <c r="M20" i="5"/>
  <c r="M25" i="5"/>
  <c r="L25" i="5"/>
  <c r="G36" i="5"/>
  <c r="I36" i="5" s="1"/>
  <c r="H46" i="5"/>
  <c r="K60" i="5"/>
  <c r="H62" i="5"/>
  <c r="J60" i="5"/>
  <c r="H63" i="5"/>
  <c r="I60" i="5"/>
  <c r="D107" i="5"/>
  <c r="H99" i="5"/>
  <c r="K15" i="5"/>
  <c r="K31" i="5"/>
  <c r="L36" i="5"/>
  <c r="L47" i="5"/>
  <c r="J53" i="5"/>
  <c r="K57" i="5"/>
  <c r="K69" i="5"/>
  <c r="J81" i="5"/>
  <c r="K82" i="5"/>
  <c r="D83" i="5"/>
  <c r="F83" i="5" s="1"/>
  <c r="H83" i="5"/>
  <c r="M83" i="5" s="1"/>
  <c r="L83" i="5"/>
  <c r="I88" i="5"/>
  <c r="K92" i="5"/>
  <c r="L103" i="5"/>
  <c r="K122" i="5"/>
  <c r="J101" i="5"/>
  <c r="I47" i="5"/>
  <c r="L57" i="5"/>
  <c r="L82" i="5"/>
  <c r="L92" i="5"/>
  <c r="J128" i="5"/>
  <c r="N51" i="5"/>
  <c r="N52" i="5" s="1"/>
  <c r="H68" i="5"/>
  <c r="H81" i="5"/>
  <c r="B9" i="1"/>
  <c r="D9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7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7" i="1"/>
  <c r="T1" i="2"/>
  <c r="F63" i="5" l="1"/>
  <c r="F28" i="5"/>
  <c r="F65" i="5"/>
  <c r="F53" i="5"/>
  <c r="I101" i="5"/>
  <c r="F82" i="5"/>
  <c r="E81" i="5"/>
  <c r="H107" i="5"/>
  <c r="C99" i="5"/>
  <c r="L52" i="5"/>
  <c r="P51" i="5"/>
  <c r="P52" i="5" s="1"/>
  <c r="P53" i="5" s="1"/>
  <c r="P59" i="5" s="1"/>
  <c r="P60" i="5" s="1"/>
  <c r="J66" i="5" s="1"/>
  <c r="F99" i="5"/>
  <c r="F19" i="5"/>
  <c r="F14" i="5"/>
  <c r="F18" i="5"/>
  <c r="I62" i="5"/>
  <c r="K62" i="5"/>
  <c r="M22" i="5"/>
  <c r="L22" i="5"/>
  <c r="K81" i="5"/>
  <c r="I81" i="5"/>
  <c r="H79" i="5"/>
  <c r="M101" i="5"/>
  <c r="L101" i="5"/>
  <c r="J99" i="5"/>
  <c r="J107" i="5"/>
  <c r="L53" i="5"/>
  <c r="M53" i="5"/>
  <c r="K107" i="5"/>
  <c r="I107" i="5"/>
  <c r="M16" i="5"/>
  <c r="L16" i="5"/>
  <c r="L68" i="5"/>
  <c r="M68" i="5"/>
  <c r="M122" i="5"/>
  <c r="L122" i="5"/>
  <c r="K19" i="5"/>
  <c r="I19" i="5"/>
  <c r="K68" i="5"/>
  <c r="I68" i="5"/>
  <c r="L81" i="5"/>
  <c r="J79" i="5"/>
  <c r="J75" i="5"/>
  <c r="M81" i="5"/>
  <c r="I63" i="5"/>
  <c r="K63" i="5"/>
  <c r="K46" i="5"/>
  <c r="I46" i="5"/>
  <c r="L46" i="5"/>
  <c r="M18" i="5"/>
  <c r="L18" i="5"/>
  <c r="M35" i="5"/>
  <c r="L35" i="5"/>
  <c r="M19" i="5"/>
  <c r="N53" i="5"/>
  <c r="N59" i="5" s="1"/>
  <c r="N60" i="5" s="1"/>
  <c r="H66" i="5" s="1"/>
  <c r="I83" i="5"/>
  <c r="K83" i="5"/>
  <c r="I99" i="5"/>
  <c r="K99" i="5"/>
  <c r="J63" i="5"/>
  <c r="M60" i="5"/>
  <c r="J62" i="5"/>
  <c r="L60" i="5"/>
  <c r="M14" i="5"/>
  <c r="L14" i="5"/>
  <c r="M46" i="5"/>
  <c r="F107" i="5"/>
  <c r="E79" i="5" l="1"/>
  <c r="F79" i="5" s="1"/>
  <c r="F81" i="5"/>
  <c r="M66" i="5"/>
  <c r="L66" i="5"/>
  <c r="M99" i="5"/>
  <c r="L99" i="5"/>
  <c r="K66" i="5"/>
  <c r="I66" i="5"/>
  <c r="M75" i="5"/>
  <c r="L75" i="5"/>
  <c r="M63" i="5"/>
  <c r="L63" i="5"/>
  <c r="M62" i="5"/>
  <c r="L62" i="5"/>
  <c r="J74" i="5"/>
  <c r="M79" i="5"/>
  <c r="L79" i="5"/>
  <c r="L107" i="5"/>
  <c r="M107" i="5"/>
  <c r="K79" i="5"/>
  <c r="I79" i="5"/>
  <c r="T38" i="2"/>
  <c r="M74" i="5" l="1"/>
  <c r="L74" i="5"/>
  <c r="F7" i="4"/>
  <c r="C372" i="3"/>
  <c r="C368" i="3"/>
  <c r="C367" i="3"/>
  <c r="G366" i="3"/>
  <c r="E366" i="3"/>
  <c r="D366" i="3"/>
  <c r="F364" i="3"/>
  <c r="E364" i="3"/>
  <c r="D364" i="3"/>
  <c r="D365" i="3" s="1"/>
  <c r="C363" i="3"/>
  <c r="F362" i="3"/>
  <c r="F363" i="3" s="1"/>
  <c r="E362" i="3"/>
  <c r="D362" i="3"/>
  <c r="I361" i="3"/>
  <c r="I362" i="3" s="1"/>
  <c r="F360" i="3"/>
  <c r="E360" i="3"/>
  <c r="K361" i="3" s="1"/>
  <c r="K362" i="3" s="1"/>
  <c r="D360" i="3"/>
  <c r="F359" i="3"/>
  <c r="G359" i="3" s="1"/>
  <c r="E359" i="3"/>
  <c r="D359" i="3"/>
  <c r="F358" i="3"/>
  <c r="E358" i="3"/>
  <c r="D358" i="3"/>
  <c r="C350" i="3"/>
  <c r="C346" i="3"/>
  <c r="E345" i="3"/>
  <c r="D345" i="3"/>
  <c r="C345" i="3"/>
  <c r="G344" i="3"/>
  <c r="E344" i="3"/>
  <c r="D344" i="3"/>
  <c r="F342" i="3"/>
  <c r="F343" i="3" s="1"/>
  <c r="G343" i="3" s="1"/>
  <c r="E342" i="3"/>
  <c r="E343" i="3" s="1"/>
  <c r="D342" i="3"/>
  <c r="D343" i="3" s="1"/>
  <c r="E341" i="3"/>
  <c r="D341" i="3"/>
  <c r="C341" i="3"/>
  <c r="F340" i="3"/>
  <c r="E340" i="3"/>
  <c r="D340" i="3"/>
  <c r="I339" i="3"/>
  <c r="I340" i="3" s="1"/>
  <c r="F338" i="3"/>
  <c r="L339" i="3" s="1"/>
  <c r="L340" i="3" s="1"/>
  <c r="L341" i="3" s="1"/>
  <c r="E338" i="3"/>
  <c r="D338" i="3"/>
  <c r="J339" i="3" s="1"/>
  <c r="J340" i="3" s="1"/>
  <c r="F337" i="3"/>
  <c r="G337" i="3" s="1"/>
  <c r="E337" i="3"/>
  <c r="D337" i="3"/>
  <c r="F336" i="3"/>
  <c r="E336" i="3"/>
  <c r="D336" i="3"/>
  <c r="C328" i="3"/>
  <c r="C324" i="3"/>
  <c r="E323" i="3"/>
  <c r="D323" i="3"/>
  <c r="C323" i="3"/>
  <c r="G322" i="3"/>
  <c r="E322" i="3"/>
  <c r="D322" i="3"/>
  <c r="F320" i="3"/>
  <c r="E320" i="3"/>
  <c r="D320" i="3"/>
  <c r="E319" i="3"/>
  <c r="D319" i="3"/>
  <c r="C319" i="3"/>
  <c r="F318" i="3"/>
  <c r="F319" i="3" s="1"/>
  <c r="G319" i="3" s="1"/>
  <c r="E318" i="3"/>
  <c r="D318" i="3"/>
  <c r="I317" i="3"/>
  <c r="I318" i="3" s="1"/>
  <c r="F316" i="3"/>
  <c r="L317" i="3" s="1"/>
  <c r="E316" i="3"/>
  <c r="K317" i="3" s="1"/>
  <c r="K318" i="3" s="1"/>
  <c r="D316" i="3"/>
  <c r="F315" i="3"/>
  <c r="G315" i="3" s="1"/>
  <c r="E315" i="3"/>
  <c r="D315" i="3"/>
  <c r="F314" i="3"/>
  <c r="G314" i="3" s="1"/>
  <c r="E314" i="3"/>
  <c r="D314" i="3"/>
  <c r="C306" i="3"/>
  <c r="C302" i="3"/>
  <c r="E301" i="3"/>
  <c r="D301" i="3"/>
  <c r="C301" i="3"/>
  <c r="G300" i="3"/>
  <c r="E300" i="3"/>
  <c r="D300" i="3"/>
  <c r="I298" i="3"/>
  <c r="I299" i="3" s="1"/>
  <c r="C295" i="3" s="1"/>
  <c r="C305" i="3" s="1"/>
  <c r="F298" i="3"/>
  <c r="E298" i="3"/>
  <c r="D298" i="3"/>
  <c r="E297" i="3"/>
  <c r="D297" i="3"/>
  <c r="C297" i="3"/>
  <c r="F296" i="3"/>
  <c r="G296" i="3" s="1"/>
  <c r="E296" i="3"/>
  <c r="D296" i="3"/>
  <c r="I295" i="3"/>
  <c r="I296" i="3" s="1"/>
  <c r="I297" i="3" s="1"/>
  <c r="F294" i="3"/>
  <c r="L295" i="3" s="1"/>
  <c r="L296" i="3" s="1"/>
  <c r="E294" i="3"/>
  <c r="D294" i="3"/>
  <c r="F293" i="3"/>
  <c r="G293" i="3" s="1"/>
  <c r="E293" i="3"/>
  <c r="D293" i="3"/>
  <c r="F292" i="3"/>
  <c r="G292" i="3" s="1"/>
  <c r="E292" i="3"/>
  <c r="D292" i="3"/>
  <c r="D302" i="3" s="1"/>
  <c r="C284" i="3"/>
  <c r="C280" i="3"/>
  <c r="C279" i="3"/>
  <c r="G278" i="3"/>
  <c r="E278" i="3"/>
  <c r="D278" i="3"/>
  <c r="F276" i="3"/>
  <c r="F277" i="3" s="1"/>
  <c r="G277" i="3" s="1"/>
  <c r="E276" i="3"/>
  <c r="E277" i="3" s="1"/>
  <c r="D276" i="3"/>
  <c r="F274" i="3"/>
  <c r="F275" i="3" s="1"/>
  <c r="G275" i="3" s="1"/>
  <c r="E274" i="3"/>
  <c r="D274" i="3"/>
  <c r="I273" i="3"/>
  <c r="I274" i="3" s="1"/>
  <c r="F272" i="3"/>
  <c r="G272" i="3" s="1"/>
  <c r="E272" i="3"/>
  <c r="D272" i="3"/>
  <c r="F271" i="3"/>
  <c r="G271" i="3" s="1"/>
  <c r="E271" i="3"/>
  <c r="D271" i="3"/>
  <c r="F270" i="3"/>
  <c r="G270" i="3" s="1"/>
  <c r="E270" i="3"/>
  <c r="D270" i="3"/>
  <c r="C262" i="3"/>
  <c r="C258" i="3"/>
  <c r="C257" i="3"/>
  <c r="G256" i="3"/>
  <c r="E256" i="3"/>
  <c r="D256" i="3"/>
  <c r="F254" i="3"/>
  <c r="F257" i="3" s="1"/>
  <c r="G257" i="3" s="1"/>
  <c r="E254" i="3"/>
  <c r="D254" i="3"/>
  <c r="F252" i="3"/>
  <c r="E252" i="3"/>
  <c r="D252" i="3"/>
  <c r="I251" i="3"/>
  <c r="I252" i="3" s="1"/>
  <c r="I253" i="3" s="1"/>
  <c r="F250" i="3"/>
  <c r="G250" i="3" s="1"/>
  <c r="E250" i="3"/>
  <c r="K251" i="3" s="1"/>
  <c r="K252" i="3" s="1"/>
  <c r="D250" i="3"/>
  <c r="F249" i="3"/>
  <c r="G249" i="3" s="1"/>
  <c r="E249" i="3"/>
  <c r="D249" i="3"/>
  <c r="F248" i="3"/>
  <c r="G248" i="3" s="1"/>
  <c r="E248" i="3"/>
  <c r="D248" i="3"/>
  <c r="C240" i="3"/>
  <c r="C236" i="3"/>
  <c r="C235" i="3"/>
  <c r="G234" i="3"/>
  <c r="E234" i="3"/>
  <c r="D234" i="3"/>
  <c r="F232" i="3"/>
  <c r="F233" i="3" s="1"/>
  <c r="G233" i="3" s="1"/>
  <c r="E232" i="3"/>
  <c r="E233" i="3" s="1"/>
  <c r="D232" i="3"/>
  <c r="D233" i="3" s="1"/>
  <c r="F230" i="3"/>
  <c r="F231" i="3" s="1"/>
  <c r="G231" i="3" s="1"/>
  <c r="E230" i="3"/>
  <c r="D230" i="3"/>
  <c r="I229" i="3"/>
  <c r="I230" i="3" s="1"/>
  <c r="F228" i="3"/>
  <c r="L229" i="3" s="1"/>
  <c r="L230" i="3" s="1"/>
  <c r="L231" i="3" s="1"/>
  <c r="E228" i="3"/>
  <c r="D228" i="3"/>
  <c r="F227" i="3"/>
  <c r="G227" i="3" s="1"/>
  <c r="E227" i="3"/>
  <c r="D227" i="3"/>
  <c r="F226" i="3"/>
  <c r="G226" i="3" s="1"/>
  <c r="E226" i="3"/>
  <c r="D226" i="3"/>
  <c r="C218" i="3"/>
  <c r="C214" i="3"/>
  <c r="C213" i="3"/>
  <c r="F212" i="3"/>
  <c r="G212" i="3" s="1"/>
  <c r="E212" i="3"/>
  <c r="D212" i="3"/>
  <c r="F210" i="3"/>
  <c r="F211" i="3" s="1"/>
  <c r="G211" i="3" s="1"/>
  <c r="E210" i="3"/>
  <c r="E211" i="3" s="1"/>
  <c r="D210" i="3"/>
  <c r="D211" i="3" s="1"/>
  <c r="C209" i="3"/>
  <c r="F208" i="3"/>
  <c r="G208" i="3" s="1"/>
  <c r="E208" i="3"/>
  <c r="D208" i="3"/>
  <c r="I207" i="3"/>
  <c r="I208" i="3" s="1"/>
  <c r="I209" i="3" s="1"/>
  <c r="F206" i="3"/>
  <c r="G206" i="3" s="1"/>
  <c r="E206" i="3"/>
  <c r="K207" i="3" s="1"/>
  <c r="K208" i="3" s="1"/>
  <c r="D206" i="3"/>
  <c r="F205" i="3"/>
  <c r="G205" i="3" s="1"/>
  <c r="E205" i="3"/>
  <c r="D205" i="3"/>
  <c r="F204" i="3"/>
  <c r="G204" i="3" s="1"/>
  <c r="E204" i="3"/>
  <c r="D204" i="3"/>
  <c r="C196" i="3"/>
  <c r="C192" i="3"/>
  <c r="E191" i="3"/>
  <c r="D191" i="3"/>
  <c r="C191" i="3"/>
  <c r="G190" i="3"/>
  <c r="E190" i="3"/>
  <c r="D190" i="3"/>
  <c r="F188" i="3"/>
  <c r="G188" i="3" s="1"/>
  <c r="E188" i="3"/>
  <c r="D188" i="3"/>
  <c r="D189" i="3" s="1"/>
  <c r="E187" i="3"/>
  <c r="D187" i="3"/>
  <c r="C187" i="3"/>
  <c r="F186" i="3"/>
  <c r="E186" i="3"/>
  <c r="D186" i="3"/>
  <c r="I185" i="3"/>
  <c r="I186" i="3" s="1"/>
  <c r="F184" i="3"/>
  <c r="G184" i="3" s="1"/>
  <c r="E184" i="3"/>
  <c r="K185" i="3" s="1"/>
  <c r="D184" i="3"/>
  <c r="J185" i="3" s="1"/>
  <c r="J186" i="3" s="1"/>
  <c r="F183" i="3"/>
  <c r="G183" i="3" s="1"/>
  <c r="E183" i="3"/>
  <c r="D183" i="3"/>
  <c r="F182" i="3"/>
  <c r="F192" i="3" s="1"/>
  <c r="G192" i="3" s="1"/>
  <c r="E182" i="3"/>
  <c r="D182" i="3"/>
  <c r="C174" i="3"/>
  <c r="C170" i="3"/>
  <c r="C169" i="3"/>
  <c r="F168" i="3"/>
  <c r="G168" i="3" s="1"/>
  <c r="E168" i="3"/>
  <c r="D168" i="3"/>
  <c r="F166" i="3"/>
  <c r="E166" i="3"/>
  <c r="E167" i="3" s="1"/>
  <c r="D166" i="3"/>
  <c r="D167" i="3" s="1"/>
  <c r="C165" i="3"/>
  <c r="F164" i="3"/>
  <c r="G164" i="3" s="1"/>
  <c r="E164" i="3"/>
  <c r="D164" i="3"/>
  <c r="I163" i="3"/>
  <c r="I164" i="3" s="1"/>
  <c r="F162" i="3"/>
  <c r="L163" i="3" s="1"/>
  <c r="E162" i="3"/>
  <c r="D162" i="3"/>
  <c r="J163" i="3" s="1"/>
  <c r="F161" i="3"/>
  <c r="G161" i="3" s="1"/>
  <c r="E161" i="3"/>
  <c r="D161" i="3"/>
  <c r="F160" i="3"/>
  <c r="E160" i="3"/>
  <c r="D160" i="3"/>
  <c r="C152" i="3"/>
  <c r="C147" i="3"/>
  <c r="C148" i="3" s="1"/>
  <c r="F146" i="3"/>
  <c r="G146" i="3" s="1"/>
  <c r="E146" i="3"/>
  <c r="D146" i="3"/>
  <c r="F144" i="3"/>
  <c r="E144" i="3"/>
  <c r="E145" i="3" s="1"/>
  <c r="D144" i="3"/>
  <c r="D145" i="3" s="1"/>
  <c r="C143" i="3"/>
  <c r="F142" i="3"/>
  <c r="E142" i="3"/>
  <c r="D142" i="3"/>
  <c r="D143" i="3" s="1"/>
  <c r="I141" i="3"/>
  <c r="I142" i="3" s="1"/>
  <c r="F140" i="3"/>
  <c r="G140" i="3" s="1"/>
  <c r="E140" i="3"/>
  <c r="D140" i="3"/>
  <c r="J141" i="3" s="1"/>
  <c r="J142" i="3" s="1"/>
  <c r="F139" i="3"/>
  <c r="G139" i="3" s="1"/>
  <c r="E139" i="3"/>
  <c r="D139" i="3"/>
  <c r="F138" i="3"/>
  <c r="G138" i="3" s="1"/>
  <c r="E138" i="3"/>
  <c r="D138" i="3"/>
  <c r="C130" i="3"/>
  <c r="C126" i="3"/>
  <c r="C125" i="3"/>
  <c r="F124" i="3"/>
  <c r="G124" i="3" s="1"/>
  <c r="E124" i="3"/>
  <c r="D124" i="3"/>
  <c r="F122" i="3"/>
  <c r="E122" i="3"/>
  <c r="D122" i="3"/>
  <c r="D123" i="3" s="1"/>
  <c r="C121" i="3"/>
  <c r="F120" i="3"/>
  <c r="E120" i="3"/>
  <c r="D120" i="3"/>
  <c r="I119" i="3"/>
  <c r="I120" i="3" s="1"/>
  <c r="F118" i="3"/>
  <c r="E118" i="3"/>
  <c r="D118" i="3"/>
  <c r="J119" i="3" s="1"/>
  <c r="J120" i="3" s="1"/>
  <c r="F117" i="3"/>
  <c r="G117" i="3" s="1"/>
  <c r="E117" i="3"/>
  <c r="D117" i="3"/>
  <c r="F116" i="3"/>
  <c r="G116" i="3" s="1"/>
  <c r="E116" i="3"/>
  <c r="D116" i="3"/>
  <c r="F102" i="3"/>
  <c r="G102" i="3" s="1"/>
  <c r="E102" i="3"/>
  <c r="D102" i="3"/>
  <c r="F100" i="3"/>
  <c r="E100" i="3"/>
  <c r="D100" i="3"/>
  <c r="D107" i="3" s="1"/>
  <c r="F98" i="3"/>
  <c r="E98" i="3"/>
  <c r="D98" i="3"/>
  <c r="I97" i="3"/>
  <c r="I98" i="3" s="1"/>
  <c r="H97" i="3"/>
  <c r="G97" i="3"/>
  <c r="F96" i="3"/>
  <c r="E96" i="3"/>
  <c r="D96" i="3"/>
  <c r="H95" i="3"/>
  <c r="G95" i="3"/>
  <c r="F94" i="3"/>
  <c r="G94" i="3" s="1"/>
  <c r="E94" i="3"/>
  <c r="D94" i="3"/>
  <c r="E81" i="3"/>
  <c r="D81" i="3"/>
  <c r="F80" i="3"/>
  <c r="G80" i="3" s="1"/>
  <c r="E80" i="3"/>
  <c r="D80" i="3"/>
  <c r="F78" i="3"/>
  <c r="E78" i="3"/>
  <c r="D78" i="3"/>
  <c r="E77" i="3"/>
  <c r="D77" i="3"/>
  <c r="F76" i="3"/>
  <c r="F77" i="3" s="1"/>
  <c r="G77" i="3" s="1"/>
  <c r="E76" i="3"/>
  <c r="D76" i="3"/>
  <c r="I75" i="3"/>
  <c r="I76" i="3" s="1"/>
  <c r="F74" i="3"/>
  <c r="L75" i="3" s="1"/>
  <c r="L76" i="3" s="1"/>
  <c r="E74" i="3"/>
  <c r="D74" i="3"/>
  <c r="F73" i="3"/>
  <c r="G73" i="3" s="1"/>
  <c r="E73" i="3"/>
  <c r="D73" i="3"/>
  <c r="F72" i="3"/>
  <c r="G72" i="3" s="1"/>
  <c r="E72" i="3"/>
  <c r="D72" i="3"/>
  <c r="E59" i="3"/>
  <c r="D59" i="3"/>
  <c r="G58" i="3"/>
  <c r="E58" i="3"/>
  <c r="D58" i="3"/>
  <c r="F56" i="3"/>
  <c r="E56" i="3"/>
  <c r="D56" i="3"/>
  <c r="D57" i="3" s="1"/>
  <c r="E55" i="3"/>
  <c r="D55" i="3"/>
  <c r="F54" i="3"/>
  <c r="F55" i="3" s="1"/>
  <c r="G55" i="3" s="1"/>
  <c r="E54" i="3"/>
  <c r="D54" i="3"/>
  <c r="I53" i="3"/>
  <c r="I54" i="3" s="1"/>
  <c r="F52" i="3"/>
  <c r="G52" i="3" s="1"/>
  <c r="E52" i="3"/>
  <c r="D52" i="3"/>
  <c r="F51" i="3"/>
  <c r="G51" i="3" s="1"/>
  <c r="E51" i="3"/>
  <c r="D51" i="3"/>
  <c r="F50" i="3"/>
  <c r="F60" i="3" s="1"/>
  <c r="G60" i="3" s="1"/>
  <c r="E50" i="3"/>
  <c r="D50" i="3"/>
  <c r="E37" i="3"/>
  <c r="D37" i="3"/>
  <c r="G36" i="3"/>
  <c r="E36" i="3"/>
  <c r="D36" i="3"/>
  <c r="F34" i="3"/>
  <c r="E34" i="3"/>
  <c r="E35" i="3" s="1"/>
  <c r="D34" i="3"/>
  <c r="E33" i="3"/>
  <c r="D33" i="3"/>
  <c r="F32" i="3"/>
  <c r="F33" i="3" s="1"/>
  <c r="G33" i="3" s="1"/>
  <c r="E32" i="3"/>
  <c r="D32" i="3"/>
  <c r="I31" i="3"/>
  <c r="I32" i="3" s="1"/>
  <c r="F30" i="3"/>
  <c r="E30" i="3"/>
  <c r="D30" i="3"/>
  <c r="J31" i="3" s="1"/>
  <c r="J32" i="3" s="1"/>
  <c r="F29" i="3"/>
  <c r="G29" i="3" s="1"/>
  <c r="E29" i="3"/>
  <c r="D29" i="3"/>
  <c r="F28" i="3"/>
  <c r="F38" i="3" s="1"/>
  <c r="G38" i="3" s="1"/>
  <c r="E28" i="3"/>
  <c r="E38" i="3" s="1"/>
  <c r="D28" i="3"/>
  <c r="R20" i="3"/>
  <c r="Q20" i="3"/>
  <c r="S20" i="3" s="1"/>
  <c r="P20" i="3"/>
  <c r="O20" i="3"/>
  <c r="F20" i="3"/>
  <c r="T19" i="3"/>
  <c r="S19" i="3"/>
  <c r="R18" i="3"/>
  <c r="T18" i="3" s="1"/>
  <c r="Q18" i="3"/>
  <c r="P18" i="3"/>
  <c r="O18" i="3"/>
  <c r="R17" i="3"/>
  <c r="T17" i="3" s="1"/>
  <c r="Q17" i="3"/>
  <c r="P17" i="3"/>
  <c r="O17" i="3"/>
  <c r="T16" i="3"/>
  <c r="S16" i="3"/>
  <c r="F16" i="3"/>
  <c r="T15" i="3"/>
  <c r="S15" i="3"/>
  <c r="F15" i="3"/>
  <c r="T14" i="3"/>
  <c r="S14" i="3"/>
  <c r="C14" i="3"/>
  <c r="G14" i="3" s="1"/>
  <c r="T13" i="3"/>
  <c r="S13" i="3"/>
  <c r="C13" i="3"/>
  <c r="C12" i="3"/>
  <c r="G12" i="3" s="1"/>
  <c r="R11" i="3"/>
  <c r="F11" i="3"/>
  <c r="C11" i="3"/>
  <c r="G11" i="3" s="1"/>
  <c r="T10" i="3"/>
  <c r="S10" i="3"/>
  <c r="G10" i="3"/>
  <c r="C10" i="3"/>
  <c r="R9" i="3"/>
  <c r="Q9" i="3"/>
  <c r="S9" i="3" s="1"/>
  <c r="P9" i="3"/>
  <c r="P11" i="3" s="1"/>
  <c r="O9" i="3"/>
  <c r="O11" i="3" s="1"/>
  <c r="L9" i="3"/>
  <c r="L10" i="3" s="1"/>
  <c r="L11" i="3" s="1"/>
  <c r="L12" i="3" s="1"/>
  <c r="L13" i="3" s="1"/>
  <c r="F9" i="3" s="1"/>
  <c r="T8" i="3"/>
  <c r="S8" i="3"/>
  <c r="C8" i="3"/>
  <c r="C7" i="3"/>
  <c r="G7" i="3" s="1"/>
  <c r="C6" i="3"/>
  <c r="G6" i="3" s="1"/>
  <c r="D363" i="3" l="1"/>
  <c r="E209" i="3"/>
  <c r="D38" i="3"/>
  <c r="I33" i="3"/>
  <c r="I34" i="3" s="1"/>
  <c r="I35" i="3" s="1"/>
  <c r="C31" i="3" s="1"/>
  <c r="T9" i="3"/>
  <c r="Q11" i="3"/>
  <c r="I210" i="3"/>
  <c r="I211" i="3" s="1"/>
  <c r="C207" i="3" s="1"/>
  <c r="C217" i="3" s="1"/>
  <c r="T11" i="3"/>
  <c r="S17" i="3"/>
  <c r="S18" i="3"/>
  <c r="T20" i="3"/>
  <c r="H55" i="3"/>
  <c r="H76" i="3"/>
  <c r="D275" i="3"/>
  <c r="F125" i="3"/>
  <c r="G125" i="3" s="1"/>
  <c r="H227" i="3"/>
  <c r="D280" i="3"/>
  <c r="D64" i="3"/>
  <c r="H293" i="3"/>
  <c r="D214" i="3"/>
  <c r="H314" i="3"/>
  <c r="F81" i="3"/>
  <c r="G81" i="3" s="1"/>
  <c r="G83" i="3" s="1"/>
  <c r="D192" i="3"/>
  <c r="H249" i="3"/>
  <c r="E121" i="3"/>
  <c r="H145" i="3"/>
  <c r="E170" i="3"/>
  <c r="D169" i="3"/>
  <c r="D257" i="3"/>
  <c r="D324" i="3"/>
  <c r="H118" i="3"/>
  <c r="H161" i="3"/>
  <c r="E196" i="3"/>
  <c r="D126" i="3"/>
  <c r="H296" i="3"/>
  <c r="H230" i="3"/>
  <c r="I9" i="3"/>
  <c r="I10" i="3" s="1"/>
  <c r="H32" i="3"/>
  <c r="H33" i="3"/>
  <c r="D165" i="3"/>
  <c r="H183" i="3"/>
  <c r="H187" i="3"/>
  <c r="F189" i="3"/>
  <c r="G189" i="3" s="1"/>
  <c r="G228" i="3"/>
  <c r="H320" i="3"/>
  <c r="G8" i="3"/>
  <c r="D60" i="3"/>
  <c r="H117" i="3"/>
  <c r="H146" i="3"/>
  <c r="E280" i="3"/>
  <c r="F297" i="3"/>
  <c r="G297" i="3" s="1"/>
  <c r="D368" i="3"/>
  <c r="D42" i="3"/>
  <c r="E218" i="3"/>
  <c r="L251" i="3"/>
  <c r="L252" i="3" s="1"/>
  <c r="L253" i="3" s="1"/>
  <c r="L254" i="3" s="1"/>
  <c r="L255" i="3" s="1"/>
  <c r="F251" i="3" s="1"/>
  <c r="H59" i="3"/>
  <c r="H61" i="3" s="1"/>
  <c r="E126" i="3"/>
  <c r="G232" i="3"/>
  <c r="H234" i="3"/>
  <c r="D253" i="3"/>
  <c r="H256" i="3"/>
  <c r="H318" i="3"/>
  <c r="H337" i="3"/>
  <c r="H340" i="3"/>
  <c r="H341" i="3"/>
  <c r="H344" i="3"/>
  <c r="H345" i="3"/>
  <c r="D82" i="3"/>
  <c r="D104" i="3"/>
  <c r="D99" i="3"/>
  <c r="H102" i="3"/>
  <c r="H139" i="3"/>
  <c r="H190" i="3"/>
  <c r="H191" i="3"/>
  <c r="H193" i="3" s="1"/>
  <c r="D258" i="3"/>
  <c r="D346" i="3"/>
  <c r="E368" i="3"/>
  <c r="D350" i="3"/>
  <c r="G74" i="3"/>
  <c r="H124" i="3"/>
  <c r="G182" i="3"/>
  <c r="E189" i="3"/>
  <c r="H189" i="3" s="1"/>
  <c r="L207" i="3"/>
  <c r="L208" i="3" s="1"/>
  <c r="L209" i="3" s="1"/>
  <c r="L210" i="3" s="1"/>
  <c r="L211" i="3" s="1"/>
  <c r="F207" i="3" s="1"/>
  <c r="H210" i="3"/>
  <c r="D255" i="3"/>
  <c r="H271" i="3"/>
  <c r="H322" i="3"/>
  <c r="G338" i="3"/>
  <c r="G342" i="3"/>
  <c r="G362" i="3"/>
  <c r="G252" i="3"/>
  <c r="F253" i="3"/>
  <c r="G253" i="3" s="1"/>
  <c r="G259" i="3" s="1"/>
  <c r="E372" i="3"/>
  <c r="E365" i="3"/>
  <c r="H365" i="3" s="1"/>
  <c r="F321" i="3"/>
  <c r="G321" i="3" s="1"/>
  <c r="F328" i="3"/>
  <c r="F323" i="3"/>
  <c r="G323" i="3" s="1"/>
  <c r="G325" i="3" s="1"/>
  <c r="F346" i="3"/>
  <c r="G346" i="3" s="1"/>
  <c r="G336" i="3"/>
  <c r="H30" i="3"/>
  <c r="E8" i="3"/>
  <c r="F35" i="3"/>
  <c r="G35" i="3" s="1"/>
  <c r="F37" i="3"/>
  <c r="G37" i="3" s="1"/>
  <c r="G39" i="3" s="1"/>
  <c r="E42" i="3"/>
  <c r="F209" i="3"/>
  <c r="G209" i="3" s="1"/>
  <c r="H29" i="3"/>
  <c r="G34" i="3"/>
  <c r="E14" i="3"/>
  <c r="F167" i="3"/>
  <c r="G167" i="3" s="1"/>
  <c r="G166" i="3"/>
  <c r="D218" i="3"/>
  <c r="E57" i="3"/>
  <c r="H57" i="3" s="1"/>
  <c r="E12" i="3"/>
  <c r="F82" i="3"/>
  <c r="G82" i="3" s="1"/>
  <c r="F103" i="3"/>
  <c r="G103" i="3" s="1"/>
  <c r="F101" i="3"/>
  <c r="G101" i="3" s="1"/>
  <c r="H138" i="3"/>
  <c r="F170" i="3"/>
  <c r="G170" i="3" s="1"/>
  <c r="G160" i="3"/>
  <c r="H211" i="3"/>
  <c r="D8" i="3"/>
  <c r="J9" i="3" s="1"/>
  <c r="J10" i="3" s="1"/>
  <c r="F57" i="3"/>
  <c r="G57" i="3" s="1"/>
  <c r="G56" i="3"/>
  <c r="E82" i="3"/>
  <c r="H82" i="3" s="1"/>
  <c r="E86" i="3"/>
  <c r="E79" i="3"/>
  <c r="G100" i="3"/>
  <c r="F108" i="3"/>
  <c r="H120" i="3"/>
  <c r="D121" i="3"/>
  <c r="H164" i="3"/>
  <c r="E165" i="3"/>
  <c r="H165" i="3" s="1"/>
  <c r="H168" i="3"/>
  <c r="H205" i="3"/>
  <c r="D277" i="3"/>
  <c r="H277" i="3" s="1"/>
  <c r="D284" i="3"/>
  <c r="D279" i="3"/>
  <c r="H359" i="3"/>
  <c r="E192" i="3"/>
  <c r="D196" i="3"/>
  <c r="D209" i="3"/>
  <c r="H209" i="3" s="1"/>
  <c r="F214" i="3"/>
  <c r="G214" i="3" s="1"/>
  <c r="D240" i="3"/>
  <c r="D231" i="3"/>
  <c r="F284" i="3"/>
  <c r="H278" i="3"/>
  <c r="G318" i="3"/>
  <c r="H212" i="3"/>
  <c r="D306" i="3"/>
  <c r="D299" i="3"/>
  <c r="H319" i="3"/>
  <c r="H323" i="3"/>
  <c r="H37" i="3"/>
  <c r="H51" i="3"/>
  <c r="H54" i="3"/>
  <c r="D7" i="3"/>
  <c r="H77" i="3"/>
  <c r="E104" i="3"/>
  <c r="H98" i="3"/>
  <c r="D103" i="3"/>
  <c r="F121" i="3"/>
  <c r="G121" i="3" s="1"/>
  <c r="G127" i="3" s="1"/>
  <c r="E152" i="3"/>
  <c r="G28" i="3"/>
  <c r="H36" i="3"/>
  <c r="H50" i="3"/>
  <c r="H80" i="3"/>
  <c r="H81" i="3"/>
  <c r="F104" i="3"/>
  <c r="G104" i="3" s="1"/>
  <c r="F99" i="3"/>
  <c r="G99" i="3" s="1"/>
  <c r="E108" i="3"/>
  <c r="E107" i="3"/>
  <c r="F126" i="3"/>
  <c r="G126" i="3" s="1"/>
  <c r="H122" i="3"/>
  <c r="E130" i="3"/>
  <c r="D170" i="3"/>
  <c r="H162" i="3"/>
  <c r="J164" i="3"/>
  <c r="J165" i="3" s="1"/>
  <c r="J166" i="3" s="1"/>
  <c r="J167" i="3" s="1"/>
  <c r="D163" i="3" s="1"/>
  <c r="D173" i="3" s="1"/>
  <c r="H186" i="3"/>
  <c r="H226" i="3"/>
  <c r="D235" i="3"/>
  <c r="E253" i="3"/>
  <c r="G276" i="3"/>
  <c r="F280" i="3"/>
  <c r="G280" i="3" s="1"/>
  <c r="H292" i="3"/>
  <c r="G294" i="3"/>
  <c r="H297" i="3"/>
  <c r="F306" i="3"/>
  <c r="H300" i="3"/>
  <c r="H301" i="3"/>
  <c r="E324" i="3"/>
  <c r="H324" i="3" s="1"/>
  <c r="H315" i="3"/>
  <c r="E328" i="3"/>
  <c r="E346" i="3"/>
  <c r="H360" i="3"/>
  <c r="F19" i="3"/>
  <c r="S23" i="3"/>
  <c r="J33" i="3"/>
  <c r="J34" i="3" s="1"/>
  <c r="J35" i="3" s="1"/>
  <c r="D31" i="3" s="1"/>
  <c r="D41" i="3" s="1"/>
  <c r="L77" i="3"/>
  <c r="L78" i="3" s="1"/>
  <c r="L79" i="3" s="1"/>
  <c r="F75" i="3" s="1"/>
  <c r="I121" i="3"/>
  <c r="I122" i="3"/>
  <c r="I123" i="3" s="1"/>
  <c r="C119" i="3" s="1"/>
  <c r="C129" i="3" s="1"/>
  <c r="J143" i="3"/>
  <c r="J144" i="3" s="1"/>
  <c r="J145" i="3" s="1"/>
  <c r="D141" i="3" s="1"/>
  <c r="D151" i="3" s="1"/>
  <c r="S11" i="3"/>
  <c r="H38" i="3"/>
  <c r="J121" i="3"/>
  <c r="J122" i="3" s="1"/>
  <c r="J123" i="3" s="1"/>
  <c r="D119" i="3" s="1"/>
  <c r="D129" i="3" s="1"/>
  <c r="I77" i="3"/>
  <c r="I78" i="3" s="1"/>
  <c r="I79" i="3" s="1"/>
  <c r="C75" i="3" s="1"/>
  <c r="J187" i="3"/>
  <c r="J188" i="3" s="1"/>
  <c r="J189" i="3" s="1"/>
  <c r="D185" i="3" s="1"/>
  <c r="D195" i="3" s="1"/>
  <c r="C15" i="3"/>
  <c r="G15" i="3" s="1"/>
  <c r="G17" i="3" s="1"/>
  <c r="K31" i="3"/>
  <c r="K32" i="3" s="1"/>
  <c r="J53" i="3"/>
  <c r="J54" i="3" s="1"/>
  <c r="H73" i="3"/>
  <c r="F86" i="3"/>
  <c r="H96" i="3"/>
  <c r="J97" i="3"/>
  <c r="J98" i="3" s="1"/>
  <c r="K119" i="3"/>
  <c r="K120" i="3" s="1"/>
  <c r="I187" i="3"/>
  <c r="I188" i="3" s="1"/>
  <c r="I189" i="3" s="1"/>
  <c r="C185" i="3" s="1"/>
  <c r="C195" i="3" s="1"/>
  <c r="D6" i="3"/>
  <c r="D12" i="3"/>
  <c r="H28" i="3"/>
  <c r="L31" i="3"/>
  <c r="L32" i="3" s="1"/>
  <c r="G32" i="3"/>
  <c r="D35" i="3"/>
  <c r="H35" i="3" s="1"/>
  <c r="F42" i="3"/>
  <c r="G50" i="3"/>
  <c r="K53" i="3"/>
  <c r="K54" i="3" s="1"/>
  <c r="I55" i="3"/>
  <c r="I56" i="3" s="1"/>
  <c r="I57" i="3" s="1"/>
  <c r="C53" i="3" s="1"/>
  <c r="H56" i="3"/>
  <c r="F59" i="3"/>
  <c r="G59" i="3" s="1"/>
  <c r="G61" i="3" s="1"/>
  <c r="E60" i="3"/>
  <c r="E64" i="3"/>
  <c r="H74" i="3"/>
  <c r="J75" i="3"/>
  <c r="J76" i="3" s="1"/>
  <c r="G78" i="3"/>
  <c r="F79" i="3"/>
  <c r="G79" i="3" s="1"/>
  <c r="H94" i="3"/>
  <c r="K97" i="3"/>
  <c r="K98" i="3" s="1"/>
  <c r="E99" i="3"/>
  <c r="I99" i="3"/>
  <c r="I100" i="3" s="1"/>
  <c r="I101" i="3" s="1"/>
  <c r="H100" i="3"/>
  <c r="E103" i="3"/>
  <c r="F107" i="3"/>
  <c r="H116" i="3"/>
  <c r="L119" i="3"/>
  <c r="L120" i="3" s="1"/>
  <c r="G120" i="3"/>
  <c r="D130" i="3"/>
  <c r="E125" i="3"/>
  <c r="F130" i="3"/>
  <c r="H140" i="3"/>
  <c r="H142" i="3"/>
  <c r="E143" i="3"/>
  <c r="H143" i="3" s="1"/>
  <c r="F152" i="3"/>
  <c r="L164" i="3"/>
  <c r="G162" i="3"/>
  <c r="H166" i="3"/>
  <c r="H208" i="3"/>
  <c r="H228" i="3"/>
  <c r="H252" i="3"/>
  <c r="E257" i="3"/>
  <c r="H254" i="3"/>
  <c r="E262" i="3"/>
  <c r="E255" i="3"/>
  <c r="K319" i="3"/>
  <c r="K320" i="3" s="1"/>
  <c r="K321" i="3" s="1"/>
  <c r="E317" i="3" s="1"/>
  <c r="H34" i="3"/>
  <c r="H182" i="3"/>
  <c r="L185" i="3"/>
  <c r="L186" i="3" s="1"/>
  <c r="E6" i="3"/>
  <c r="D10" i="3"/>
  <c r="D14" i="3"/>
  <c r="C20" i="3"/>
  <c r="G30" i="3"/>
  <c r="L53" i="3"/>
  <c r="L54" i="3" s="1"/>
  <c r="G54" i="3"/>
  <c r="H58" i="3"/>
  <c r="F64" i="3"/>
  <c r="K75" i="3"/>
  <c r="K76" i="3" s="1"/>
  <c r="H78" i="3"/>
  <c r="D86" i="3"/>
  <c r="L97" i="3"/>
  <c r="L98" i="3" s="1"/>
  <c r="G98" i="3"/>
  <c r="D101" i="3"/>
  <c r="D108" i="3"/>
  <c r="G118" i="3"/>
  <c r="F143" i="3"/>
  <c r="G143" i="3" s="1"/>
  <c r="G142" i="3"/>
  <c r="G144" i="3"/>
  <c r="F145" i="3"/>
  <c r="G145" i="3" s="1"/>
  <c r="H160" i="3"/>
  <c r="H167" i="3"/>
  <c r="K209" i="3"/>
  <c r="K210" i="3" s="1"/>
  <c r="K211" i="3" s="1"/>
  <c r="E207" i="3" s="1"/>
  <c r="D213" i="3"/>
  <c r="I231" i="3"/>
  <c r="I232" i="3" s="1"/>
  <c r="I233" i="3" s="1"/>
  <c r="C229" i="3" s="1"/>
  <c r="C239" i="3" s="1"/>
  <c r="F236" i="3"/>
  <c r="G236" i="3" s="1"/>
  <c r="K253" i="3"/>
  <c r="K254" i="3" s="1"/>
  <c r="K255" i="3" s="1"/>
  <c r="E251" i="3" s="1"/>
  <c r="C16" i="3"/>
  <c r="G16" i="3" s="1"/>
  <c r="H52" i="3"/>
  <c r="F187" i="3"/>
  <c r="G187" i="3" s="1"/>
  <c r="G186" i="3"/>
  <c r="E7" i="3"/>
  <c r="E10" i="3"/>
  <c r="H72" i="3"/>
  <c r="G76" i="3"/>
  <c r="D79" i="3"/>
  <c r="G96" i="3"/>
  <c r="E101" i="3"/>
  <c r="F123" i="3"/>
  <c r="G123" i="3" s="1"/>
  <c r="G122" i="3"/>
  <c r="E123" i="3"/>
  <c r="H123" i="3" s="1"/>
  <c r="K141" i="3"/>
  <c r="K142" i="3" s="1"/>
  <c r="I143" i="3"/>
  <c r="I144" i="3" s="1"/>
  <c r="I145" i="3" s="1"/>
  <c r="C141" i="3" s="1"/>
  <c r="C151" i="3" s="1"/>
  <c r="F147" i="3"/>
  <c r="K163" i="3"/>
  <c r="K164" i="3" s="1"/>
  <c r="F165" i="3"/>
  <c r="G165" i="3" s="1"/>
  <c r="I165" i="3"/>
  <c r="I166" i="3" s="1"/>
  <c r="I167" i="3" s="1"/>
  <c r="C163" i="3" s="1"/>
  <c r="C173" i="3" s="1"/>
  <c r="F174" i="3"/>
  <c r="D174" i="3"/>
  <c r="E214" i="3"/>
  <c r="H204" i="3"/>
  <c r="L232" i="3"/>
  <c r="L233" i="3" s="1"/>
  <c r="F229" i="3" s="1"/>
  <c r="F239" i="3" s="1"/>
  <c r="J229" i="3"/>
  <c r="J230" i="3" s="1"/>
  <c r="E258" i="3"/>
  <c r="H258" i="3" s="1"/>
  <c r="H248" i="3"/>
  <c r="I363" i="3"/>
  <c r="I364" i="3" s="1"/>
  <c r="I365" i="3" s="1"/>
  <c r="C361" i="3" s="1"/>
  <c r="C371" i="3" s="1"/>
  <c r="L141" i="3"/>
  <c r="L142" i="3" s="1"/>
  <c r="H144" i="3"/>
  <c r="D147" i="3"/>
  <c r="D148" i="3" s="1"/>
  <c r="D152" i="3"/>
  <c r="E169" i="3"/>
  <c r="E174" i="3"/>
  <c r="H184" i="3"/>
  <c r="F196" i="3"/>
  <c r="F191" i="3"/>
  <c r="G191" i="3" s="1"/>
  <c r="E213" i="3"/>
  <c r="D236" i="3"/>
  <c r="E240" i="3"/>
  <c r="F262" i="3"/>
  <c r="F255" i="3"/>
  <c r="G255" i="3" s="1"/>
  <c r="G254" i="3"/>
  <c r="J273" i="3"/>
  <c r="J274" i="3" s="1"/>
  <c r="H272" i="3"/>
  <c r="H274" i="3"/>
  <c r="E275" i="3"/>
  <c r="H275" i="3" s="1"/>
  <c r="L318" i="3"/>
  <c r="G316" i="3"/>
  <c r="J341" i="3"/>
  <c r="J342" i="3" s="1"/>
  <c r="J343" i="3" s="1"/>
  <c r="D339" i="3" s="1"/>
  <c r="D349" i="3" s="1"/>
  <c r="F368" i="3"/>
  <c r="G368" i="3" s="1"/>
  <c r="G358" i="3"/>
  <c r="H362" i="3"/>
  <c r="E363" i="3"/>
  <c r="H363" i="3" s="1"/>
  <c r="D125" i="3"/>
  <c r="E147" i="3"/>
  <c r="F169" i="3"/>
  <c r="G169" i="3" s="1"/>
  <c r="K186" i="3"/>
  <c r="E231" i="3"/>
  <c r="F240" i="3"/>
  <c r="F235" i="3"/>
  <c r="G235" i="3" s="1"/>
  <c r="G237" i="3" s="1"/>
  <c r="H233" i="3"/>
  <c r="E236" i="3"/>
  <c r="I254" i="3"/>
  <c r="I255" i="3" s="1"/>
  <c r="C251" i="3" s="1"/>
  <c r="C261" i="3" s="1"/>
  <c r="L297" i="3"/>
  <c r="L298" i="3" s="1"/>
  <c r="L299" i="3" s="1"/>
  <c r="F295" i="3" s="1"/>
  <c r="I319" i="3"/>
  <c r="I320" i="3" s="1"/>
  <c r="I321" i="3" s="1"/>
  <c r="C317" i="3" s="1"/>
  <c r="C327" i="3" s="1"/>
  <c r="H338" i="3"/>
  <c r="K339" i="3"/>
  <c r="K340" i="3" s="1"/>
  <c r="J361" i="3"/>
  <c r="J362" i="3" s="1"/>
  <c r="G363" i="3"/>
  <c r="H188" i="3"/>
  <c r="H206" i="3"/>
  <c r="J207" i="3"/>
  <c r="J208" i="3" s="1"/>
  <c r="F213" i="3"/>
  <c r="G213" i="3" s="1"/>
  <c r="F218" i="3"/>
  <c r="K229" i="3"/>
  <c r="K230" i="3" s="1"/>
  <c r="H232" i="3"/>
  <c r="E235" i="3"/>
  <c r="H250" i="3"/>
  <c r="J251" i="3"/>
  <c r="J252" i="3" s="1"/>
  <c r="F258" i="3"/>
  <c r="G258" i="3" s="1"/>
  <c r="H298" i="3"/>
  <c r="E306" i="3"/>
  <c r="E299" i="3"/>
  <c r="L342" i="3"/>
  <c r="L343" i="3" s="1"/>
  <c r="F339" i="3" s="1"/>
  <c r="F349" i="3" s="1"/>
  <c r="I342" i="3"/>
  <c r="I343" i="3" s="1"/>
  <c r="C339" i="3" s="1"/>
  <c r="C349" i="3" s="1"/>
  <c r="I341" i="3"/>
  <c r="F341" i="3"/>
  <c r="G341" i="3" s="1"/>
  <c r="G340" i="3"/>
  <c r="F372" i="3"/>
  <c r="F367" i="3"/>
  <c r="G367" i="3" s="1"/>
  <c r="F365" i="3"/>
  <c r="G365" i="3" s="1"/>
  <c r="G364" i="3"/>
  <c r="G210" i="3"/>
  <c r="G230" i="3"/>
  <c r="D262" i="3"/>
  <c r="I276" i="3"/>
  <c r="I277" i="3" s="1"/>
  <c r="C273" i="3" s="1"/>
  <c r="C283" i="3" s="1"/>
  <c r="I275" i="3"/>
  <c r="E302" i="3"/>
  <c r="H302" i="3" s="1"/>
  <c r="D328" i="3"/>
  <c r="D321" i="3"/>
  <c r="F350" i="3"/>
  <c r="K363" i="3"/>
  <c r="K364" i="3" s="1"/>
  <c r="K365" i="3" s="1"/>
  <c r="E361" i="3" s="1"/>
  <c r="H366" i="3"/>
  <c r="K273" i="3"/>
  <c r="K274" i="3" s="1"/>
  <c r="H276" i="3"/>
  <c r="E279" i="3"/>
  <c r="E284" i="3"/>
  <c r="H294" i="3"/>
  <c r="J295" i="3"/>
  <c r="J296" i="3" s="1"/>
  <c r="F302" i="3"/>
  <c r="G302" i="3" s="1"/>
  <c r="H336" i="3"/>
  <c r="H342" i="3"/>
  <c r="F345" i="3"/>
  <c r="G345" i="3" s="1"/>
  <c r="E350" i="3"/>
  <c r="D367" i="3"/>
  <c r="D372" i="3"/>
  <c r="H270" i="3"/>
  <c r="L273" i="3"/>
  <c r="L274" i="3" s="1"/>
  <c r="G274" i="3"/>
  <c r="F279" i="3"/>
  <c r="G279" i="3" s="1"/>
  <c r="G281" i="3" s="1"/>
  <c r="K295" i="3"/>
  <c r="K296" i="3" s="1"/>
  <c r="G298" i="3"/>
  <c r="F299" i="3"/>
  <c r="G299" i="3" s="1"/>
  <c r="H316" i="3"/>
  <c r="J317" i="3"/>
  <c r="J318" i="3" s="1"/>
  <c r="E321" i="3"/>
  <c r="F324" i="3"/>
  <c r="G324" i="3" s="1"/>
  <c r="H358" i="3"/>
  <c r="L361" i="3"/>
  <c r="L362" i="3" s="1"/>
  <c r="H364" i="3"/>
  <c r="E367" i="3"/>
  <c r="H367" i="3" s="1"/>
  <c r="H369" i="3" s="1"/>
  <c r="F301" i="3"/>
  <c r="G301" i="3" s="1"/>
  <c r="G320" i="3"/>
  <c r="G360" i="3"/>
  <c r="H235" i="3" l="1"/>
  <c r="H214" i="3"/>
  <c r="H169" i="3"/>
  <c r="H253" i="3"/>
  <c r="G215" i="3"/>
  <c r="G193" i="3"/>
  <c r="H280" i="3"/>
  <c r="H346" i="3"/>
  <c r="H126" i="3"/>
  <c r="H231" i="3"/>
  <c r="H237" i="3" s="1"/>
  <c r="H257" i="3"/>
  <c r="H104" i="3"/>
  <c r="H121" i="3"/>
  <c r="H347" i="3"/>
  <c r="H171" i="3"/>
  <c r="H255" i="3"/>
  <c r="H325" i="3"/>
  <c r="H368" i="3"/>
  <c r="H99" i="3"/>
  <c r="H60" i="3"/>
  <c r="H170" i="3"/>
  <c r="H83" i="3"/>
  <c r="H79" i="3"/>
  <c r="H192" i="3"/>
  <c r="E15" i="3"/>
  <c r="G347" i="3"/>
  <c r="G105" i="3"/>
  <c r="I11" i="3"/>
  <c r="I12" i="3" s="1"/>
  <c r="I13" i="3" s="1"/>
  <c r="C9" i="3" s="1"/>
  <c r="H39" i="3"/>
  <c r="G303" i="3"/>
  <c r="G369" i="3"/>
  <c r="D11" i="3"/>
  <c r="G207" i="3"/>
  <c r="F217" i="3"/>
  <c r="H8" i="3"/>
  <c r="H7" i="3"/>
  <c r="H103" i="3"/>
  <c r="K9" i="3"/>
  <c r="K10" i="3" s="1"/>
  <c r="K11" i="3" s="1"/>
  <c r="K12" i="3" s="1"/>
  <c r="K13" i="3" s="1"/>
  <c r="E9" i="3" s="1"/>
  <c r="H303" i="3"/>
  <c r="H279" i="3"/>
  <c r="H281" i="3" s="1"/>
  <c r="H213" i="3"/>
  <c r="H215" i="3" s="1"/>
  <c r="E13" i="3"/>
  <c r="H14" i="3"/>
  <c r="H125" i="3"/>
  <c r="D16" i="3"/>
  <c r="L275" i="3"/>
  <c r="L276" i="3" s="1"/>
  <c r="L277" i="3" s="1"/>
  <c r="F273" i="3" s="1"/>
  <c r="J253" i="3"/>
  <c r="J254" i="3" s="1"/>
  <c r="J255" i="3" s="1"/>
  <c r="D251" i="3" s="1"/>
  <c r="D261" i="3" s="1"/>
  <c r="J209" i="3"/>
  <c r="J210" i="3" s="1"/>
  <c r="J211" i="3" s="1"/>
  <c r="D207" i="3" s="1"/>
  <c r="K165" i="3"/>
  <c r="K166" i="3" s="1"/>
  <c r="K167" i="3" s="1"/>
  <c r="E163" i="3" s="1"/>
  <c r="E261" i="3"/>
  <c r="E217" i="3"/>
  <c r="G251" i="3"/>
  <c r="G260" i="3" s="1"/>
  <c r="F261" i="3"/>
  <c r="L121" i="3"/>
  <c r="L122" i="3" s="1"/>
  <c r="L123" i="3" s="1"/>
  <c r="F119" i="3" s="1"/>
  <c r="K121" i="3"/>
  <c r="K122" i="3" s="1"/>
  <c r="K123" i="3" s="1"/>
  <c r="E119" i="3" s="1"/>
  <c r="J11" i="3"/>
  <c r="J12" i="3" s="1"/>
  <c r="J13" i="3" s="1"/>
  <c r="D9" i="3" s="1"/>
  <c r="D19" i="3" s="1"/>
  <c r="G75" i="3"/>
  <c r="G84" i="3" s="1"/>
  <c r="F85" i="3"/>
  <c r="L33" i="3"/>
  <c r="L34" i="3" s="1"/>
  <c r="L35" i="3" s="1"/>
  <c r="F31" i="3" s="1"/>
  <c r="J99" i="3"/>
  <c r="J100" i="3" s="1"/>
  <c r="J101" i="3" s="1"/>
  <c r="J231" i="3"/>
  <c r="J232" i="3" s="1"/>
  <c r="J233" i="3" s="1"/>
  <c r="D229" i="3" s="1"/>
  <c r="D239" i="3" s="1"/>
  <c r="L187" i="3"/>
  <c r="L188" i="3" s="1"/>
  <c r="L189" i="3" s="1"/>
  <c r="F185" i="3" s="1"/>
  <c r="J77" i="3"/>
  <c r="J78" i="3" s="1"/>
  <c r="J79" i="3" s="1"/>
  <c r="D75" i="3" s="1"/>
  <c r="D85" i="3" s="1"/>
  <c r="K55" i="3"/>
  <c r="K56" i="3" s="1"/>
  <c r="K57" i="3" s="1"/>
  <c r="E53" i="3" s="1"/>
  <c r="K231" i="3"/>
  <c r="K232" i="3" s="1"/>
  <c r="K233" i="3" s="1"/>
  <c r="E229" i="3" s="1"/>
  <c r="J319" i="3"/>
  <c r="J320" i="3" s="1"/>
  <c r="J321" i="3" s="1"/>
  <c r="D317" i="3" s="1"/>
  <c r="K297" i="3"/>
  <c r="K298" i="3" s="1"/>
  <c r="K299" i="3" s="1"/>
  <c r="E295" i="3" s="1"/>
  <c r="E371" i="3"/>
  <c r="L55" i="3"/>
  <c r="L56" i="3" s="1"/>
  <c r="L57" i="3" s="1"/>
  <c r="F53" i="3" s="1"/>
  <c r="J297" i="3"/>
  <c r="J298" i="3" s="1"/>
  <c r="J299" i="3" s="1"/>
  <c r="D295" i="3" s="1"/>
  <c r="D305" i="3" s="1"/>
  <c r="G295" i="3"/>
  <c r="G304" i="3" s="1"/>
  <c r="F305" i="3"/>
  <c r="E327" i="3"/>
  <c r="J363" i="3"/>
  <c r="J364" i="3" s="1"/>
  <c r="J365" i="3" s="1"/>
  <c r="D361" i="3" s="1"/>
  <c r="D371" i="3" s="1"/>
  <c r="K275" i="3"/>
  <c r="K276" i="3" s="1"/>
  <c r="K277" i="3" s="1"/>
  <c r="E273" i="3" s="1"/>
  <c r="J275" i="3"/>
  <c r="J276" i="3" s="1"/>
  <c r="J277" i="3" s="1"/>
  <c r="D273" i="3" s="1"/>
  <c r="D283" i="3" s="1"/>
  <c r="K77" i="3"/>
  <c r="K78" i="3" s="1"/>
  <c r="K79" i="3" s="1"/>
  <c r="E75" i="3" s="1"/>
  <c r="K187" i="3"/>
  <c r="K188" i="3" s="1"/>
  <c r="K189" i="3" s="1"/>
  <c r="E185" i="3" s="1"/>
  <c r="H147" i="3"/>
  <c r="H149" i="3" s="1"/>
  <c r="E148" i="3"/>
  <c r="H148" i="3" s="1"/>
  <c r="G229" i="3"/>
  <c r="G238" i="3" s="1"/>
  <c r="E16" i="3"/>
  <c r="H6" i="3"/>
  <c r="L165" i="3"/>
  <c r="L166" i="3" s="1"/>
  <c r="L167" i="3" s="1"/>
  <c r="F163" i="3" s="1"/>
  <c r="D13" i="3"/>
  <c r="F13" i="3"/>
  <c r="G13" i="3" s="1"/>
  <c r="K143" i="3"/>
  <c r="K144" i="3" s="1"/>
  <c r="K145" i="3" s="1"/>
  <c r="E141" i="3" s="1"/>
  <c r="J55" i="3"/>
  <c r="J56" i="3" s="1"/>
  <c r="J57" i="3" s="1"/>
  <c r="D53" i="3" s="1"/>
  <c r="D63" i="3" s="1"/>
  <c r="L99" i="3"/>
  <c r="L100" i="3" s="1"/>
  <c r="L101" i="3" s="1"/>
  <c r="K99" i="3"/>
  <c r="K100" i="3" s="1"/>
  <c r="K101" i="3" s="1"/>
  <c r="L363" i="3"/>
  <c r="L364" i="3" s="1"/>
  <c r="L365" i="3" s="1"/>
  <c r="F361" i="3" s="1"/>
  <c r="K341" i="3"/>
  <c r="K342" i="3" s="1"/>
  <c r="K343" i="3" s="1"/>
  <c r="E339" i="3" s="1"/>
  <c r="H236" i="3"/>
  <c r="F148" i="3"/>
  <c r="G148" i="3" s="1"/>
  <c r="G147" i="3"/>
  <c r="G149" i="3" s="1"/>
  <c r="L143" i="3"/>
  <c r="L144" i="3" s="1"/>
  <c r="L145" i="3" s="1"/>
  <c r="F141" i="3" s="1"/>
  <c r="H101" i="3"/>
  <c r="K33" i="3"/>
  <c r="K34" i="3" s="1"/>
  <c r="K35" i="3" s="1"/>
  <c r="E31" i="3" s="1"/>
  <c r="D20" i="3"/>
  <c r="H12" i="3"/>
  <c r="D15" i="3"/>
  <c r="H15" i="3" s="1"/>
  <c r="H349" i="3"/>
  <c r="H351" i="3"/>
  <c r="H350" i="3"/>
  <c r="H352" i="3"/>
  <c r="G216" i="3"/>
  <c r="G339" i="3"/>
  <c r="G348" i="3" s="1"/>
  <c r="G171" i="3"/>
  <c r="L319" i="3"/>
  <c r="L320" i="3" s="1"/>
  <c r="L321" i="3" s="1"/>
  <c r="F317" i="3" s="1"/>
  <c r="E20" i="3"/>
  <c r="E11" i="3"/>
  <c r="H10" i="3"/>
  <c r="H259" i="3" l="1"/>
  <c r="H127" i="3"/>
  <c r="H16" i="3"/>
  <c r="H11" i="3"/>
  <c r="H17" i="3" s="1"/>
  <c r="G9" i="3"/>
  <c r="G18" i="3" s="1"/>
  <c r="C19" i="3"/>
  <c r="H13" i="3"/>
  <c r="G163" i="3"/>
  <c r="G172" i="3" s="1"/>
  <c r="F173" i="3"/>
  <c r="H9" i="3"/>
  <c r="H18" i="3" s="1"/>
  <c r="E19" i="3"/>
  <c r="D217" i="3"/>
  <c r="H207" i="3"/>
  <c r="H216" i="3" s="1"/>
  <c r="H273" i="3"/>
  <c r="H282" i="3" s="1"/>
  <c r="E283" i="3"/>
  <c r="H295" i="3"/>
  <c r="H304" i="3" s="1"/>
  <c r="E305" i="3"/>
  <c r="G185" i="3"/>
  <c r="G194" i="3" s="1"/>
  <c r="F195" i="3"/>
  <c r="G119" i="3"/>
  <c r="G128" i="3" s="1"/>
  <c r="F129" i="3"/>
  <c r="G317" i="3"/>
  <c r="G326" i="3" s="1"/>
  <c r="F327" i="3"/>
  <c r="D327" i="3"/>
  <c r="H317" i="3"/>
  <c r="H326" i="3" s="1"/>
  <c r="H119" i="3"/>
  <c r="H128" i="3" s="1"/>
  <c r="E129" i="3"/>
  <c r="G273" i="3"/>
  <c r="G282" i="3" s="1"/>
  <c r="F283" i="3"/>
  <c r="H141" i="3"/>
  <c r="H150" i="3" s="1"/>
  <c r="E151" i="3"/>
  <c r="H163" i="3"/>
  <c r="H172" i="3" s="1"/>
  <c r="E173" i="3"/>
  <c r="G53" i="3"/>
  <c r="G62" i="3" s="1"/>
  <c r="F63" i="3"/>
  <c r="H361" i="3"/>
  <c r="H370" i="3" s="1"/>
  <c r="H75" i="3"/>
  <c r="H84" i="3" s="1"/>
  <c r="E85" i="3"/>
  <c r="H229" i="3"/>
  <c r="H238" i="3" s="1"/>
  <c r="E239" i="3"/>
  <c r="G31" i="3"/>
  <c r="G40" i="3" s="1"/>
  <c r="F41" i="3"/>
  <c r="H31" i="3"/>
  <c r="H40" i="3" s="1"/>
  <c r="E41" i="3"/>
  <c r="H339" i="3"/>
  <c r="H348" i="3" s="1"/>
  <c r="E349" i="3"/>
  <c r="H185" i="3"/>
  <c r="H194" i="3" s="1"/>
  <c r="E195" i="3"/>
  <c r="H53" i="3"/>
  <c r="H62" i="3" s="1"/>
  <c r="E63" i="3"/>
  <c r="G141" i="3"/>
  <c r="G150" i="3" s="1"/>
  <c r="F151" i="3"/>
  <c r="G361" i="3"/>
  <c r="G370" i="3" s="1"/>
  <c r="F371" i="3"/>
  <c r="H251" i="3"/>
  <c r="H260" i="3" s="1"/>
  <c r="D35" i="2" l="1"/>
  <c r="D2" i="2" s="1"/>
  <c r="E35" i="2"/>
  <c r="F35" i="2"/>
  <c r="F45" i="2" s="1"/>
  <c r="G45" i="2"/>
  <c r="H35" i="2"/>
  <c r="H45" i="2" s="1"/>
  <c r="I35" i="2"/>
  <c r="J35" i="2"/>
  <c r="K35" i="2"/>
  <c r="L35" i="2"/>
  <c r="M35" i="2"/>
  <c r="M45" i="2" s="1"/>
  <c r="N35" i="2"/>
  <c r="N2" i="2" s="1"/>
  <c r="P35" i="2"/>
  <c r="Q35" i="2"/>
  <c r="R35" i="2"/>
  <c r="S35" i="2"/>
  <c r="O35" i="2"/>
  <c r="O45" i="2" s="1"/>
  <c r="C43" i="1"/>
  <c r="B43" i="1"/>
  <c r="D43" i="1" s="1"/>
  <c r="B23" i="1"/>
  <c r="C23" i="1"/>
  <c r="C24" i="1" s="1"/>
  <c r="Q23" i="1" s="1"/>
  <c r="E23" i="1"/>
  <c r="E34" i="2"/>
  <c r="F34" i="2"/>
  <c r="H34" i="2"/>
  <c r="I34" i="2"/>
  <c r="J34" i="2"/>
  <c r="K34" i="2"/>
  <c r="L34" i="2"/>
  <c r="M34" i="2"/>
  <c r="N34" i="2"/>
  <c r="D34" i="2"/>
  <c r="D44" i="2" s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5" i="2"/>
  <c r="O23" i="1"/>
  <c r="N23" i="1"/>
  <c r="L22" i="1"/>
  <c r="I22" i="1"/>
  <c r="J22" i="1" s="1"/>
  <c r="F22" i="1"/>
  <c r="K42" i="1"/>
  <c r="L21" i="1"/>
  <c r="I21" i="1"/>
  <c r="J21" i="1" s="1"/>
  <c r="F21" i="1"/>
  <c r="K41" i="1"/>
  <c r="L20" i="1"/>
  <c r="H40" i="1"/>
  <c r="I20" i="1"/>
  <c r="J20" i="1" s="1"/>
  <c r="F20" i="1"/>
  <c r="K40" i="1"/>
  <c r="L19" i="1"/>
  <c r="I19" i="1"/>
  <c r="J19" i="1" s="1"/>
  <c r="F19" i="1"/>
  <c r="K39" i="1"/>
  <c r="L18" i="1"/>
  <c r="I18" i="1"/>
  <c r="J18" i="1" s="1"/>
  <c r="F18" i="1"/>
  <c r="K38" i="1"/>
  <c r="L17" i="1"/>
  <c r="I17" i="1"/>
  <c r="J17" i="1" s="1"/>
  <c r="F17" i="1"/>
  <c r="K37" i="1"/>
  <c r="L16" i="1"/>
  <c r="H36" i="1"/>
  <c r="I16" i="1"/>
  <c r="J16" i="1" s="1"/>
  <c r="F16" i="1"/>
  <c r="K36" i="1"/>
  <c r="L15" i="1"/>
  <c r="I15" i="1"/>
  <c r="J15" i="1" s="1"/>
  <c r="F15" i="1"/>
  <c r="K35" i="1"/>
  <c r="L14" i="1"/>
  <c r="I14" i="1"/>
  <c r="J14" i="1" s="1"/>
  <c r="F14" i="1"/>
  <c r="K34" i="1"/>
  <c r="L13" i="1"/>
  <c r="I13" i="1"/>
  <c r="J13" i="1" s="1"/>
  <c r="F13" i="1"/>
  <c r="K33" i="1"/>
  <c r="L12" i="1"/>
  <c r="I12" i="1"/>
  <c r="J12" i="1" s="1"/>
  <c r="F12" i="1"/>
  <c r="K32" i="1"/>
  <c r="L11" i="1"/>
  <c r="I11" i="1"/>
  <c r="J11" i="1" s="1"/>
  <c r="F11" i="1"/>
  <c r="G11" i="1" s="1"/>
  <c r="M31" i="1" s="1"/>
  <c r="K31" i="1"/>
  <c r="L10" i="1"/>
  <c r="I10" i="1"/>
  <c r="J10" i="1" s="1"/>
  <c r="F10" i="1"/>
  <c r="K30" i="1"/>
  <c r="L9" i="1"/>
  <c r="I9" i="1"/>
  <c r="J9" i="1" s="1"/>
  <c r="F9" i="1"/>
  <c r="K29" i="1"/>
  <c r="L8" i="1"/>
  <c r="I8" i="1"/>
  <c r="J8" i="1" s="1"/>
  <c r="F8" i="1"/>
  <c r="K28" i="1"/>
  <c r="L7" i="1"/>
  <c r="I7" i="1"/>
  <c r="J7" i="1" s="1"/>
  <c r="F7" i="1"/>
  <c r="K27" i="1"/>
  <c r="K4" i="1"/>
  <c r="T35" i="2" l="1"/>
  <c r="T37" i="2" s="1"/>
  <c r="T50" i="2"/>
  <c r="D10" i="4" s="1"/>
  <c r="D12" i="4"/>
  <c r="F12" i="4" s="1"/>
  <c r="T45" i="2"/>
  <c r="P50" i="2"/>
  <c r="P45" i="2"/>
  <c r="K50" i="2"/>
  <c r="K45" i="2"/>
  <c r="S50" i="2"/>
  <c r="S45" i="2"/>
  <c r="N50" i="2"/>
  <c r="N45" i="2"/>
  <c r="J50" i="2"/>
  <c r="J45" i="2"/>
  <c r="R50" i="2"/>
  <c r="R45" i="2"/>
  <c r="I50" i="2"/>
  <c r="I45" i="2"/>
  <c r="E50" i="2"/>
  <c r="E45" i="2"/>
  <c r="Q50" i="2"/>
  <c r="Q45" i="2"/>
  <c r="L50" i="2"/>
  <c r="L45" i="2"/>
  <c r="D50" i="2"/>
  <c r="D45" i="2"/>
  <c r="G37" i="2"/>
  <c r="G50" i="2"/>
  <c r="F37" i="2"/>
  <c r="F50" i="2"/>
  <c r="O37" i="2"/>
  <c r="O50" i="2"/>
  <c r="M37" i="2"/>
  <c r="M50" i="2"/>
  <c r="H37" i="2"/>
  <c r="H50" i="2"/>
  <c r="C12" i="4"/>
  <c r="D36" i="2"/>
  <c r="D37" i="2"/>
  <c r="E36" i="2"/>
  <c r="E44" i="2"/>
  <c r="E37" i="2"/>
  <c r="E2" i="2"/>
  <c r="R36" i="2"/>
  <c r="R44" i="2"/>
  <c r="R37" i="2"/>
  <c r="R2" i="2"/>
  <c r="Q36" i="2"/>
  <c r="Q44" i="2"/>
  <c r="Q37" i="2"/>
  <c r="Q2" i="2"/>
  <c r="P37" i="2"/>
  <c r="P2" i="2"/>
  <c r="P36" i="2"/>
  <c r="P44" i="2"/>
  <c r="O36" i="2"/>
  <c r="O44" i="2"/>
  <c r="N37" i="2"/>
  <c r="N36" i="2"/>
  <c r="N44" i="2"/>
  <c r="M36" i="2"/>
  <c r="M44" i="2"/>
  <c r="L36" i="2"/>
  <c r="L44" i="2"/>
  <c r="L37" i="2"/>
  <c r="L2" i="2"/>
  <c r="K37" i="2"/>
  <c r="K2" i="2"/>
  <c r="K36" i="2"/>
  <c r="K44" i="2"/>
  <c r="J37" i="2"/>
  <c r="J2" i="2"/>
  <c r="J36" i="2"/>
  <c r="J44" i="2"/>
  <c r="I36" i="2"/>
  <c r="I44" i="2"/>
  <c r="I37" i="2"/>
  <c r="I2" i="2"/>
  <c r="G36" i="2"/>
  <c r="G44" i="2"/>
  <c r="F36" i="2"/>
  <c r="F44" i="2"/>
  <c r="H36" i="2"/>
  <c r="H44" i="2"/>
  <c r="S37" i="2"/>
  <c r="S2" i="2"/>
  <c r="S36" i="2"/>
  <c r="S44" i="2"/>
  <c r="H2" i="2"/>
  <c r="G2" i="2"/>
  <c r="D23" i="1"/>
  <c r="L28" i="1"/>
  <c r="G8" i="1"/>
  <c r="L29" i="1"/>
  <c r="G9" i="1"/>
  <c r="M29" i="1" s="1"/>
  <c r="L30" i="1"/>
  <c r="G10" i="1"/>
  <c r="M30" i="1" s="1"/>
  <c r="L37" i="1"/>
  <c r="G17" i="1"/>
  <c r="M37" i="1" s="1"/>
  <c r="L38" i="1"/>
  <c r="G18" i="1"/>
  <c r="M38" i="1" s="1"/>
  <c r="L39" i="1"/>
  <c r="G19" i="1"/>
  <c r="M39" i="1" s="1"/>
  <c r="L40" i="1"/>
  <c r="G20" i="1"/>
  <c r="L42" i="1"/>
  <c r="G22" i="1"/>
  <c r="M42" i="1" s="1"/>
  <c r="L27" i="1"/>
  <c r="G7" i="1"/>
  <c r="M27" i="1" s="1"/>
  <c r="L41" i="1"/>
  <c r="G21" i="1"/>
  <c r="M41" i="1" s="1"/>
  <c r="L32" i="1"/>
  <c r="G12" i="1"/>
  <c r="L33" i="1"/>
  <c r="G13" i="1"/>
  <c r="M33" i="1" s="1"/>
  <c r="L34" i="1"/>
  <c r="G14" i="1"/>
  <c r="M34" i="1" s="1"/>
  <c r="L35" i="1"/>
  <c r="G15" i="1"/>
  <c r="M35" i="1" s="1"/>
  <c r="L36" i="1"/>
  <c r="G16" i="1"/>
  <c r="M2" i="2"/>
  <c r="I27" i="1"/>
  <c r="M7" i="1"/>
  <c r="I28" i="1"/>
  <c r="O28" i="1" s="1"/>
  <c r="M8" i="1"/>
  <c r="J28" i="1" s="1"/>
  <c r="I30" i="1"/>
  <c r="M10" i="1"/>
  <c r="I31" i="1"/>
  <c r="M11" i="1"/>
  <c r="I32" i="1"/>
  <c r="M12" i="1"/>
  <c r="J32" i="1" s="1"/>
  <c r="J39" i="2"/>
  <c r="J48" i="2" s="1"/>
  <c r="M13" i="1"/>
  <c r="I34" i="1"/>
  <c r="M14" i="1"/>
  <c r="I35" i="1"/>
  <c r="O35" i="1" s="1"/>
  <c r="M15" i="1"/>
  <c r="I29" i="1"/>
  <c r="M9" i="1"/>
  <c r="I36" i="1"/>
  <c r="O36" i="1" s="1"/>
  <c r="M16" i="1"/>
  <c r="J36" i="1" s="1"/>
  <c r="N39" i="2"/>
  <c r="N48" i="2" s="1"/>
  <c r="M17" i="1"/>
  <c r="I38" i="1"/>
  <c r="M18" i="1"/>
  <c r="I39" i="1"/>
  <c r="O39" i="1" s="1"/>
  <c r="M19" i="1"/>
  <c r="I40" i="1"/>
  <c r="M20" i="1"/>
  <c r="J40" i="1" s="1"/>
  <c r="R39" i="2"/>
  <c r="M21" i="1"/>
  <c r="I42" i="1"/>
  <c r="O42" i="1" s="1"/>
  <c r="M22" i="1"/>
  <c r="O2" i="2"/>
  <c r="F2" i="2"/>
  <c r="G39" i="2"/>
  <c r="K39" i="2"/>
  <c r="O39" i="2"/>
  <c r="P39" i="2"/>
  <c r="D39" i="2"/>
  <c r="H39" i="2"/>
  <c r="L39" i="2"/>
  <c r="S39" i="2"/>
  <c r="E39" i="2"/>
  <c r="I39" i="2"/>
  <c r="M39" i="2"/>
  <c r="Q39" i="2"/>
  <c r="F39" i="2"/>
  <c r="T34" i="2"/>
  <c r="E31" i="1"/>
  <c r="E29" i="1"/>
  <c r="O29" i="1"/>
  <c r="E33" i="1"/>
  <c r="H33" i="1"/>
  <c r="N33" i="1" s="1"/>
  <c r="F38" i="1"/>
  <c r="E35" i="1"/>
  <c r="H29" i="1"/>
  <c r="N29" i="1" s="1"/>
  <c r="F32" i="1"/>
  <c r="N36" i="1"/>
  <c r="N40" i="1"/>
  <c r="F36" i="1"/>
  <c r="E27" i="1"/>
  <c r="E39" i="1"/>
  <c r="F28" i="1"/>
  <c r="F30" i="1"/>
  <c r="F34" i="1"/>
  <c r="F40" i="1"/>
  <c r="F42" i="1"/>
  <c r="E30" i="1"/>
  <c r="H30" i="1"/>
  <c r="N30" i="1" s="1"/>
  <c r="I33" i="1"/>
  <c r="O33" i="1" s="1"/>
  <c r="F33" i="1"/>
  <c r="E38" i="1"/>
  <c r="H38" i="1"/>
  <c r="N38" i="1" s="1"/>
  <c r="I41" i="1"/>
  <c r="O41" i="1" s="1"/>
  <c r="F41" i="1"/>
  <c r="H23" i="1"/>
  <c r="E28" i="1"/>
  <c r="E32" i="1"/>
  <c r="F23" i="1"/>
  <c r="F29" i="1"/>
  <c r="F31" i="1"/>
  <c r="L31" i="1"/>
  <c r="E34" i="1"/>
  <c r="H34" i="1"/>
  <c r="N34" i="1" s="1"/>
  <c r="I37" i="1"/>
  <c r="O37" i="1" s="1"/>
  <c r="F37" i="1"/>
  <c r="E42" i="1"/>
  <c r="H42" i="1"/>
  <c r="N42" i="1" s="1"/>
  <c r="K43" i="1"/>
  <c r="I23" i="1"/>
  <c r="F27" i="1"/>
  <c r="K23" i="1"/>
  <c r="E36" i="1"/>
  <c r="E40" i="1"/>
  <c r="L23" i="1"/>
  <c r="H27" i="1"/>
  <c r="N27" i="1" s="1"/>
  <c r="H28" i="1"/>
  <c r="N28" i="1" s="1"/>
  <c r="H31" i="1"/>
  <c r="N31" i="1" s="1"/>
  <c r="H32" i="1"/>
  <c r="N32" i="1" s="1"/>
  <c r="F35" i="1"/>
  <c r="F39" i="1"/>
  <c r="E37" i="1"/>
  <c r="E41" i="1"/>
  <c r="H35" i="1"/>
  <c r="N35" i="1" s="1"/>
  <c r="H37" i="1"/>
  <c r="N37" i="1" s="1"/>
  <c r="H39" i="1"/>
  <c r="N39" i="1" s="1"/>
  <c r="H41" i="1"/>
  <c r="N41" i="1" s="1"/>
  <c r="D14" i="4" l="1"/>
  <c r="C14" i="4"/>
  <c r="C13" i="4"/>
  <c r="R48" i="2"/>
  <c r="R49" i="2" s="1"/>
  <c r="R53" i="2" s="1"/>
  <c r="P48" i="2"/>
  <c r="P49" i="2" s="1"/>
  <c r="P53" i="2" s="1"/>
  <c r="K48" i="2"/>
  <c r="J40" i="2"/>
  <c r="J41" i="2" s="1"/>
  <c r="F48" i="2"/>
  <c r="F49" i="2" s="1"/>
  <c r="F53" i="2" s="1"/>
  <c r="S46" i="2"/>
  <c r="H46" i="2"/>
  <c r="G46" i="2"/>
  <c r="I46" i="2"/>
  <c r="L46" i="2"/>
  <c r="N46" i="2"/>
  <c r="O46" i="2"/>
  <c r="Q46" i="2"/>
  <c r="R46" i="2"/>
  <c r="E46" i="2"/>
  <c r="D46" i="2"/>
  <c r="F46" i="2"/>
  <c r="J46" i="2"/>
  <c r="K46" i="2"/>
  <c r="M46" i="2"/>
  <c r="P46" i="2"/>
  <c r="E48" i="2"/>
  <c r="D48" i="2"/>
  <c r="D49" i="2" s="1"/>
  <c r="D53" i="2" s="1"/>
  <c r="Q48" i="2"/>
  <c r="F10" i="4"/>
  <c r="O48" i="2"/>
  <c r="J49" i="2"/>
  <c r="J53" i="2" s="1"/>
  <c r="N49" i="2"/>
  <c r="N53" i="2" s="1"/>
  <c r="S48" i="2"/>
  <c r="I48" i="2"/>
  <c r="H48" i="2"/>
  <c r="K49" i="2"/>
  <c r="K53" i="2" s="1"/>
  <c r="G40" i="2"/>
  <c r="G41" i="2" s="1"/>
  <c r="G48" i="2"/>
  <c r="M40" i="2"/>
  <c r="M41" i="2" s="1"/>
  <c r="M48" i="2"/>
  <c r="L40" i="2"/>
  <c r="L41" i="2" s="1"/>
  <c r="L48" i="2"/>
  <c r="O40" i="2"/>
  <c r="O41" i="2" s="1"/>
  <c r="Q40" i="2"/>
  <c r="Q41" i="2" s="1"/>
  <c r="P40" i="2"/>
  <c r="P41" i="2" s="1"/>
  <c r="O34" i="1"/>
  <c r="O40" i="1"/>
  <c r="O38" i="1"/>
  <c r="O30" i="1"/>
  <c r="H40" i="2"/>
  <c r="H41" i="2" s="1"/>
  <c r="N40" i="2"/>
  <c r="N41" i="2" s="1"/>
  <c r="E40" i="2"/>
  <c r="E41" i="2" s="1"/>
  <c r="K40" i="2"/>
  <c r="K41" i="2" s="1"/>
  <c r="I40" i="2"/>
  <c r="I41" i="2" s="1"/>
  <c r="F40" i="2"/>
  <c r="F41" i="2" s="1"/>
  <c r="R40" i="2"/>
  <c r="R41" i="2" s="1"/>
  <c r="S40" i="2"/>
  <c r="S41" i="2" s="1"/>
  <c r="T36" i="2"/>
  <c r="T44" i="2"/>
  <c r="T2" i="2"/>
  <c r="O32" i="1"/>
  <c r="O27" i="1"/>
  <c r="J42" i="1"/>
  <c r="P42" i="1" s="1"/>
  <c r="G42" i="1"/>
  <c r="G38" i="1"/>
  <c r="J38" i="1"/>
  <c r="P38" i="1" s="1"/>
  <c r="G35" i="1"/>
  <c r="J35" i="1"/>
  <c r="P35" i="1" s="1"/>
  <c r="J33" i="1"/>
  <c r="P33" i="1" s="1"/>
  <c r="G33" i="1"/>
  <c r="J31" i="1"/>
  <c r="P31" i="1" s="1"/>
  <c r="G31" i="1"/>
  <c r="L43" i="1"/>
  <c r="G23" i="1"/>
  <c r="M43" i="1" s="1"/>
  <c r="O31" i="1"/>
  <c r="J41" i="1"/>
  <c r="P41" i="1" s="1"/>
  <c r="G41" i="1"/>
  <c r="G39" i="1"/>
  <c r="J39" i="1"/>
  <c r="P39" i="1" s="1"/>
  <c r="J37" i="1"/>
  <c r="P37" i="1" s="1"/>
  <c r="G37" i="1"/>
  <c r="G29" i="1"/>
  <c r="J29" i="1"/>
  <c r="P29" i="1" s="1"/>
  <c r="G34" i="1"/>
  <c r="J34" i="1"/>
  <c r="P34" i="1" s="1"/>
  <c r="G30" i="1"/>
  <c r="J30" i="1"/>
  <c r="P30" i="1" s="1"/>
  <c r="J27" i="1"/>
  <c r="P27" i="1" s="1"/>
  <c r="G27" i="1"/>
  <c r="G36" i="1"/>
  <c r="M36" i="1"/>
  <c r="P36" i="1" s="1"/>
  <c r="G32" i="1"/>
  <c r="M32" i="1"/>
  <c r="P32" i="1" s="1"/>
  <c r="G40" i="1"/>
  <c r="M40" i="1"/>
  <c r="P40" i="1" s="1"/>
  <c r="G28" i="1"/>
  <c r="M28" i="1"/>
  <c r="P28" i="1" s="1"/>
  <c r="J23" i="1"/>
  <c r="C11" i="4" s="1"/>
  <c r="M23" i="1"/>
  <c r="D40" i="2"/>
  <c r="T39" i="2"/>
  <c r="I43" i="1"/>
  <c r="F43" i="1"/>
  <c r="E43" i="1"/>
  <c r="H43" i="1"/>
  <c r="N43" i="1" s="1"/>
  <c r="E49" i="2" l="1"/>
  <c r="E53" i="2" s="1"/>
  <c r="O43" i="1"/>
  <c r="T48" i="2"/>
  <c r="I49" i="2"/>
  <c r="I53" i="2" s="1"/>
  <c r="M49" i="2"/>
  <c r="M53" i="2" s="1"/>
  <c r="Q49" i="2"/>
  <c r="Q53" i="2" s="1"/>
  <c r="O49" i="2"/>
  <c r="O53" i="2" s="1"/>
  <c r="L49" i="2"/>
  <c r="L53" i="2" s="1"/>
  <c r="G49" i="2"/>
  <c r="G53" i="2" s="1"/>
  <c r="H49" i="2"/>
  <c r="H53" i="2" s="1"/>
  <c r="S49" i="2"/>
  <c r="S53" i="2" s="1"/>
  <c r="C15" i="4"/>
  <c r="C16" i="4" s="1"/>
  <c r="G11" i="4"/>
  <c r="J43" i="1"/>
  <c r="P43" i="1" s="1"/>
  <c r="C8" i="4"/>
  <c r="T40" i="2"/>
  <c r="T41" i="2" s="1"/>
  <c r="D41" i="2"/>
  <c r="D21" i="4"/>
  <c r="F21" i="4" s="1"/>
  <c r="F14" i="4"/>
  <c r="U36" i="2"/>
  <c r="T49" i="2" l="1"/>
  <c r="T53" i="2" s="1"/>
  <c r="T46" i="2"/>
  <c r="U48" i="2" l="1"/>
  <c r="D9" i="4"/>
  <c r="D13" i="4" s="1"/>
  <c r="F8" i="4"/>
  <c r="D15" i="4"/>
  <c r="F9" i="4" l="1"/>
  <c r="G9" i="4" s="1"/>
  <c r="J9" i="4"/>
  <c r="D20" i="4"/>
  <c r="F20" i="4" s="1"/>
  <c r="G13" i="4"/>
  <c r="F13" i="4"/>
  <c r="F15" i="4"/>
  <c r="D16" i="4"/>
  <c r="F16" i="4" s="1"/>
  <c r="H9" i="4" l="1"/>
  <c r="H10" i="4" s="1"/>
  <c r="H11" i="4" s="1"/>
</calcChain>
</file>

<file path=xl/sharedStrings.xml><?xml version="1.0" encoding="utf-8"?>
<sst xmlns="http://schemas.openxmlformats.org/spreadsheetml/2006/main" count="1269" uniqueCount="322">
  <si>
    <t>GRUPO EMPRESARIAL CAMPISMO POPULAR</t>
  </si>
  <si>
    <t>INDICADORES EMPLEO Y SALARIO (MT)</t>
  </si>
  <si>
    <t>ACUMULADO HASTA:</t>
  </si>
  <si>
    <t>EMPRESAS</t>
  </si>
  <si>
    <t>VALOR AGREGADO</t>
  </si>
  <si>
    <t>UTILIDAD</t>
  </si>
  <si>
    <t>FONDO SALARIO</t>
  </si>
  <si>
    <t>PROMEDIO TRABAJADORES</t>
  </si>
  <si>
    <t>Pinar del Río</t>
  </si>
  <si>
    <t>Artemisa</t>
  </si>
  <si>
    <t>Casa Matriz</t>
  </si>
  <si>
    <t>HABANA</t>
  </si>
  <si>
    <t>MAYABEQUE</t>
  </si>
  <si>
    <t>Matanzas</t>
  </si>
  <si>
    <t>Villa Clara</t>
  </si>
  <si>
    <t>Cienfuegos</t>
  </si>
  <si>
    <t>Sancti Spíritus</t>
  </si>
  <si>
    <t>Ciego de Avila</t>
  </si>
  <si>
    <t>Camagüey</t>
  </si>
  <si>
    <t>Las Tunas</t>
  </si>
  <si>
    <t>Holguín</t>
  </si>
  <si>
    <t>Granma</t>
  </si>
  <si>
    <t>Stgo Cuba</t>
  </si>
  <si>
    <t>Guantanamo</t>
  </si>
  <si>
    <t>TOTAL</t>
  </si>
  <si>
    <t>GS/VAB</t>
  </si>
  <si>
    <t>SALARIO MEDIO</t>
  </si>
  <si>
    <t>PRODUCTIVIDAD</t>
  </si>
  <si>
    <t>COR. SAL. MED./PRODUCTIVIDAD</t>
  </si>
  <si>
    <t>I Sem 2025</t>
  </si>
  <si>
    <t>II Sem 2024</t>
  </si>
  <si>
    <t>Grupo Complejidad</t>
  </si>
  <si>
    <t>Salario Escala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</si>
  <si>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</si>
  <si>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</si>
  <si>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</si>
  <si>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</si>
  <si>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</si>
  <si>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</si>
  <si>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</si>
  <si>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</si>
  <si>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</si>
  <si>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</si>
  <si>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</si>
  <si>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</si>
  <si>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</si>
  <si>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</si>
  <si>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</si>
  <si>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</si>
  <si>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</si>
  <si>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</si>
  <si>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</si>
  <si>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</si>
  <si>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</si>
  <si>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</si>
  <si>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</si>
  <si>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</si>
  <si>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</si>
  <si>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PRI</t>
  </si>
  <si>
    <t>ART</t>
  </si>
  <si>
    <t>HAB</t>
  </si>
  <si>
    <t>CMATRIZ</t>
  </si>
  <si>
    <t>MAY</t>
  </si>
  <si>
    <t>MAT</t>
  </si>
  <si>
    <t>VCL</t>
  </si>
  <si>
    <t>CFG</t>
  </si>
  <si>
    <t>SSP</t>
  </si>
  <si>
    <t>CAV</t>
  </si>
  <si>
    <t>CMG</t>
  </si>
  <si>
    <t>LTU</t>
  </si>
  <si>
    <t>HLG</t>
  </si>
  <si>
    <t>GRM</t>
  </si>
  <si>
    <t>SCU</t>
  </si>
  <si>
    <t>GTM</t>
  </si>
  <si>
    <t>Consolidado</t>
  </si>
  <si>
    <t>Promedio Trabajadores</t>
  </si>
  <si>
    <t>Ingresos Totales</t>
  </si>
  <si>
    <t>Ventas Netas</t>
  </si>
  <si>
    <t>Salario Enero - Junio</t>
  </si>
  <si>
    <t>R</t>
  </si>
  <si>
    <t>Unidad organizativa: OSDE Campismo Popular</t>
  </si>
  <si>
    <t>INDICADORES</t>
  </si>
  <si>
    <t>UM</t>
  </si>
  <si>
    <t>REAL EJERCICIO 2024</t>
  </si>
  <si>
    <t>ACUMULADO</t>
  </si>
  <si>
    <t>Plan Anual  2025</t>
  </si>
  <si>
    <t>Variación %</t>
  </si>
  <si>
    <t>Resumen de Indicadores Fundamentales</t>
  </si>
  <si>
    <t>Ministerio de Economía y Planificación</t>
  </si>
  <si>
    <t>Modelo: I-1</t>
  </si>
  <si>
    <t>Plan 2025</t>
  </si>
  <si>
    <t xml:space="preserve">Real 2025 </t>
  </si>
  <si>
    <t>P 25 / R 24    Art.7.1 Decreto 87</t>
  </si>
  <si>
    <t>Real 25/ Plan 25 Acum   Art 8.1 Decreto 87</t>
  </si>
  <si>
    <t>Plan 2023</t>
  </si>
  <si>
    <t>Indicadores</t>
  </si>
  <si>
    <t>Real 2024</t>
  </si>
  <si>
    <t>Año 2025</t>
  </si>
  <si>
    <t>Relaciones</t>
  </si>
  <si>
    <t>INGRESOS TOTALES</t>
  </si>
  <si>
    <t>MP</t>
  </si>
  <si>
    <t xml:space="preserve">Plan </t>
  </si>
  <si>
    <t>Real</t>
  </si>
  <si>
    <t>R25/P25</t>
  </si>
  <si>
    <t>P25/R24</t>
  </si>
  <si>
    <t>VENTAS NETAS TOTALES</t>
  </si>
  <si>
    <t>SECTOR ESTATAL</t>
  </si>
  <si>
    <t xml:space="preserve">UTILIDAD ANTES DE  IMPUESTO.5921-04 (Fila 40)  </t>
  </si>
  <si>
    <t>APORTE POR EL RENDIMIENTO DE LA INVERSION ESTATAL O DIVIDENDOS</t>
  </si>
  <si>
    <t>Costos y Gastos Totales</t>
  </si>
  <si>
    <t>VALOR AGREGADO BRUTO</t>
  </si>
  <si>
    <t>Utilidad antes del Impuesto</t>
  </si>
  <si>
    <t>PRODUCTIVIDAD POR TRABAJADOR (en base a Valor Agregado)</t>
  </si>
  <si>
    <t>p</t>
  </si>
  <si>
    <t>Gasto total por peso de Ingreso total</t>
  </si>
  <si>
    <t>Peso</t>
  </si>
  <si>
    <t>FONDO DE  SALARIO TOTAL   5924-04 (04)</t>
  </si>
  <si>
    <t>EMPLEO Y SALARIO</t>
  </si>
  <si>
    <t xml:space="preserve">         DE ELLO:  SALARIO  ESCALA</t>
  </si>
  <si>
    <t>Gasto de Salario</t>
  </si>
  <si>
    <t>PROMEDIO  DE  TRABAJADORES        M 5202 ONEI</t>
  </si>
  <si>
    <t>U</t>
  </si>
  <si>
    <t>Oficina Central</t>
  </si>
  <si>
    <t>SALARIO MEDIO MENSUAL</t>
  </si>
  <si>
    <t>P</t>
  </si>
  <si>
    <t>Promedio de Trabajadores</t>
  </si>
  <si>
    <t>Uno</t>
  </si>
  <si>
    <t>INGRESO MEDIO MENSUAL</t>
  </si>
  <si>
    <t>Correlación Salario Medio Productividad</t>
  </si>
  <si>
    <t>Coef.</t>
  </si>
  <si>
    <t>Salario Medio</t>
  </si>
  <si>
    <t>Pesos</t>
  </si>
  <si>
    <t>CorrelaciónARIE Fondo de Salarios</t>
  </si>
  <si>
    <t>Gasto de Salario / Dividendos</t>
  </si>
  <si>
    <t>Valor Agregado Bruto</t>
  </si>
  <si>
    <t>Gasto de Salario / Valor Agregado Bruto</t>
  </si>
  <si>
    <t>Productividad a partir del VAB</t>
  </si>
  <si>
    <t>pesos</t>
  </si>
  <si>
    <t>Salario Pagado Sin Respaldo Productivo (Dividendos)</t>
  </si>
  <si>
    <t>Aporte al RIE o pago de dividendos a los socios</t>
  </si>
  <si>
    <t>Salario Pagado Sin Respaldo Productivo (Productividad)</t>
  </si>
  <si>
    <t>Proporción Aporte al RIE o pago de dividendos a los socios contra Fondo de Salario</t>
  </si>
  <si>
    <t>Unidad organizativa: Pinar del Río</t>
  </si>
  <si>
    <t>5% reserva para Contingencia</t>
  </si>
  <si>
    <t>Utilidad antes de Impuesto</t>
  </si>
  <si>
    <t>35% Aporte por la Utilidad</t>
  </si>
  <si>
    <t>Utilidad despues de Impuesto</t>
  </si>
  <si>
    <t>Aporte Rendimiento Inversion</t>
  </si>
  <si>
    <t>Correlación Salario Medio/ Productividad</t>
  </si>
  <si>
    <t xml:space="preserve">CorrelaciónFondo de Salarios/ARIE </t>
  </si>
  <si>
    <t>Unidad organizativa: Artemisa</t>
  </si>
  <si>
    <t>Gasto de Salario / ARIE</t>
  </si>
  <si>
    <t>Salario Pagado Sin Respaldo Productivo (ARIE)</t>
  </si>
  <si>
    <t>Unidad organizativa: La Habana</t>
  </si>
  <si>
    <t>Unidad organizativa: Casa Matríz</t>
  </si>
  <si>
    <t>Unidad organizativa: Mayabeque</t>
  </si>
  <si>
    <t>Unidad organizativa: Matanzas</t>
  </si>
  <si>
    <t>Unidad organizativa: Villa Clara</t>
  </si>
  <si>
    <t>Unidad organizativa: Cienfuegos</t>
  </si>
  <si>
    <t>Gasto de Salario /ARIE</t>
  </si>
  <si>
    <t>Unidad organizativa: Sancti Spíritus</t>
  </si>
  <si>
    <t>Unidad organizativa: Ciego de Avila</t>
  </si>
  <si>
    <t>Unidad organizativa: Camaguey</t>
  </si>
  <si>
    <t>Unidad organizativa: Las Tunas</t>
  </si>
  <si>
    <t>Unidad organizativa: Holguín</t>
  </si>
  <si>
    <t>Unidad organizativa: Granma</t>
  </si>
  <si>
    <t>Unidad organizativa: Santiago de Cuba</t>
  </si>
  <si>
    <t>Unidad organizativa: Guantánamo</t>
  </si>
  <si>
    <t>UM: Miles de CUP</t>
  </si>
  <si>
    <t>ESTIMADO DE CIERRE AÑO ACTUAL</t>
  </si>
  <si>
    <t xml:space="preserve">MODELACION </t>
  </si>
  <si>
    <t>Variación Absoluta</t>
  </si>
  <si>
    <t>2 - 1</t>
  </si>
  <si>
    <t>VENTAS NETAS</t>
  </si>
  <si>
    <t>COSTOS Y GASTOS</t>
  </si>
  <si>
    <t xml:space="preserve"> FONDO DE SALARIO</t>
  </si>
  <si>
    <t>MONTO DE ESTIM EN DIVISAS A 1 USD X 120 CUP</t>
  </si>
  <si>
    <t>UTILIDAD A/IMP.</t>
  </si>
  <si>
    <t>PROMEDIO DE TRABAJADORES</t>
  </si>
  <si>
    <t>A  - SALARIO MEDIO</t>
  </si>
  <si>
    <t>C  - DIST. UTILIDADES PROM POR TRABAJADOR</t>
  </si>
  <si>
    <t>D   - TOTAL DE INGRESO MEDIO MENSUAL</t>
  </si>
  <si>
    <t>CANT INSTALACIONES QUE CIERRAN EN PERDIDA</t>
  </si>
  <si>
    <t xml:space="preserve"> DE ELLAS - PROM TRABAJADORES IMPLICADOS</t>
  </si>
  <si>
    <t>% de Salario / Ventas Netas</t>
  </si>
  <si>
    <t>% Estimulacion / Ventas Netas</t>
  </si>
  <si>
    <t>NOTA:</t>
  </si>
  <si>
    <t xml:space="preserve"> A = FONDO DE SALARIO ENTRE PROM TRABAJADORES ENTRE 12 MESES</t>
  </si>
  <si>
    <t xml:space="preserve"> B = FONDO DE SALARIO ENTRE PROM TRABAJADORES ENTRE 12 MESES</t>
  </si>
  <si>
    <t xml:space="preserve"> C = DISTRIBUCION DE UTILIDADES ENTRE PROM TRABAJADORES ENTRE 12 MESES</t>
  </si>
  <si>
    <t xml:space="preserve"> D = A + B </t>
  </si>
  <si>
    <t>Salario Agosto-Diciembre</t>
  </si>
  <si>
    <t>Salario Julio</t>
  </si>
  <si>
    <t>Fondo Salario</t>
  </si>
  <si>
    <t>OSDE o Empresa: CAMPISMO POPULAR</t>
  </si>
  <si>
    <t>Gasto salario/Ingreso Total</t>
  </si>
  <si>
    <t>Impuesto salario</t>
  </si>
  <si>
    <t>Incremento Gastos Asociados al Salario</t>
  </si>
  <si>
    <t>TABLA RESULMEN DE LOS INDICADORES FUNDAMENTALES DEL PLAN 2026.</t>
  </si>
  <si>
    <t>NOTA: NO MODIFICAR LAS CELDAS CON FORMULAS</t>
  </si>
  <si>
    <t>Entidad: OSDE CAMPISMO POPULAR</t>
  </si>
  <si>
    <t>I Semestre 2025</t>
  </si>
  <si>
    <t>Plan 2026</t>
  </si>
  <si>
    <t>%</t>
  </si>
  <si>
    <t>Estimado</t>
  </si>
  <si>
    <t>EST 2025 / REAL 2024</t>
  </si>
  <si>
    <t>PLAN 2026 /REAL 2024</t>
  </si>
  <si>
    <t>PLAN 2026 /EST 2025</t>
  </si>
  <si>
    <t>NIVELES DE ACTIVIDAD</t>
  </si>
  <si>
    <t>Visitantes</t>
  </si>
  <si>
    <t>Miles</t>
  </si>
  <si>
    <t>Turistas Extranjeros Fisicos</t>
  </si>
  <si>
    <t>Estancia Promedio</t>
  </si>
  <si>
    <t>Dias</t>
  </si>
  <si>
    <t>Turistas días extranjeros</t>
  </si>
  <si>
    <t>Turistas días nacionales</t>
  </si>
  <si>
    <t>Turistas días totales</t>
  </si>
  <si>
    <t>Ingresos turísticos</t>
  </si>
  <si>
    <t>MMCUP</t>
  </si>
  <si>
    <t>de ellos: Alojamiento</t>
  </si>
  <si>
    <t xml:space="preserve">    Exportaciones de Servicios</t>
  </si>
  <si>
    <t>MMUSD</t>
  </si>
  <si>
    <t>Ingreso por turistas días Totales</t>
  </si>
  <si>
    <t>CUP</t>
  </si>
  <si>
    <t>Exportaciones por turistas días Extranjeros</t>
  </si>
  <si>
    <t>USD</t>
  </si>
  <si>
    <t>Habitaciones días existentes</t>
  </si>
  <si>
    <t>Habitaciones días ocupadas</t>
  </si>
  <si>
    <t>Ocupación</t>
  </si>
  <si>
    <t>Habitaciones existentes</t>
  </si>
  <si>
    <t>Habitaciones disponibles</t>
  </si>
  <si>
    <t>Habitaciones fuera de orden</t>
  </si>
  <si>
    <t>NIVELES DE ACTIVIDAD (SECTOR ESTATAL)</t>
  </si>
  <si>
    <t xml:space="preserve">Turistas días extranjeros </t>
  </si>
  <si>
    <t xml:space="preserve">Turistas días nacionales </t>
  </si>
  <si>
    <t xml:space="preserve">Turistas días totales </t>
  </si>
  <si>
    <t xml:space="preserve">de ellos: Alojamiento </t>
  </si>
  <si>
    <t xml:space="preserve">      Exportaciones de Servicios </t>
  </si>
  <si>
    <t>NIVELES DE ACTIVIDAD (AEI)</t>
  </si>
  <si>
    <t xml:space="preserve">Ingresos turísticos </t>
  </si>
  <si>
    <t xml:space="preserve">   Exportaciones de Servicios </t>
  </si>
  <si>
    <t>INDICADORES DE EFICIENCIA</t>
  </si>
  <si>
    <t>Sector estatal</t>
  </si>
  <si>
    <t>AEI</t>
  </si>
  <si>
    <t>INDICADORES DE EMPLEO Y SALARIO</t>
  </si>
  <si>
    <t>Gasto de salario</t>
  </si>
  <si>
    <t>Indice de Gasto de salario por peso de ingreso total</t>
  </si>
  <si>
    <t>INDICADORES DE COMERCIO ELECTRONICO</t>
  </si>
  <si>
    <t>Ventas ONLINE</t>
  </si>
  <si>
    <t>Cobros a traves de Pasarelas de Pagos y Canales Digitales</t>
  </si>
  <si>
    <t>De ellos:            Pos de Fincimex</t>
  </si>
  <si>
    <t xml:space="preserve">                         Enzona</t>
  </si>
  <si>
    <t xml:space="preserve">                         Transfermovil</t>
  </si>
  <si>
    <t xml:space="preserve">                         Pasarelas</t>
  </si>
  <si>
    <t>Ventas en MLC</t>
  </si>
  <si>
    <t>de ello:  Ventas en MLC al Mercado Interno</t>
  </si>
  <si>
    <t>Pagos realizados a través de canales digitales</t>
  </si>
  <si>
    <t xml:space="preserve">INDICADORES SECTOR EXTERNO </t>
  </si>
  <si>
    <t>Sector Estatal + AEI (DEL MODELO COMEX)</t>
  </si>
  <si>
    <t>Exportaciones de bienes y servicios</t>
  </si>
  <si>
    <t>Ingresos en divisa desde el exterior</t>
  </si>
  <si>
    <t>Ingresos en divisa captados en el país</t>
  </si>
  <si>
    <t>      Ingresospor ventas de bienes o servicios en MLC</t>
  </si>
  <si>
    <t>Importaciones de bienes y servicios</t>
  </si>
  <si>
    <t>Créditos externos comerciales</t>
  </si>
  <si>
    <t>Corto plazo</t>
  </si>
  <si>
    <t>Mediano Plazo</t>
  </si>
  <si>
    <t>Largo Plazo</t>
  </si>
  <si>
    <t>Créditos externos financieros</t>
  </si>
  <si>
    <t>Pago de deudas desde Cuba</t>
  </si>
  <si>
    <t xml:space="preserve">    (+) Pago de Deudas con FP sin instrumentos bancarios </t>
  </si>
  <si>
    <t xml:space="preserve">     (-) Deudas que se pagan desde el exterior</t>
  </si>
  <si>
    <t>Pagos internos</t>
  </si>
  <si>
    <t xml:space="preserve">Pagos de Bienes y Servicios a entidades radicadas en la ZED Mariel </t>
  </si>
  <si>
    <t>Pagos de Bienes y Servicios a Empresas Mixtas</t>
  </si>
  <si>
    <t>Pagos de Bienes y Servicios a Entidades Estatales</t>
  </si>
  <si>
    <t xml:space="preserve">Demanda de compra de divisa </t>
  </si>
  <si>
    <t>Gastos de Viajes</t>
  </si>
  <si>
    <t>Demanda de compra de divisa por asignación semanal</t>
  </si>
  <si>
    <t>INVERSIONES</t>
  </si>
  <si>
    <t>Total</t>
  </si>
  <si>
    <t>MMP</t>
  </si>
  <si>
    <t>Construcción y montaje</t>
  </si>
  <si>
    <t>Equipos</t>
  </si>
  <si>
    <t>Otros</t>
  </si>
  <si>
    <t>Importaciones</t>
  </si>
  <si>
    <t>PORTADORES ENERGÉTICOS</t>
  </si>
  <si>
    <t>Electricidad</t>
  </si>
  <si>
    <t>Mwh</t>
  </si>
  <si>
    <t>Gasolina</t>
  </si>
  <si>
    <t>t</t>
  </si>
  <si>
    <t>Fuel oil</t>
  </si>
  <si>
    <t>Diésel</t>
  </si>
  <si>
    <t>GLP</t>
  </si>
  <si>
    <t>Solvente</t>
  </si>
  <si>
    <t>Turbocombustible</t>
  </si>
  <si>
    <t>Gasolina de aviación</t>
  </si>
  <si>
    <t>Lubricantes</t>
  </si>
  <si>
    <t>Querosene</t>
  </si>
  <si>
    <t>Crudo</t>
  </si>
  <si>
    <t>Gas manufacturado</t>
  </si>
  <si>
    <r>
      <t>m</t>
    </r>
    <r>
      <rPr>
        <vertAlign val="superscript"/>
        <sz val="12"/>
        <color theme="1"/>
        <rFont val="Arial"/>
        <family val="2"/>
      </rPr>
      <t>3</t>
    </r>
  </si>
  <si>
    <t>INDICADORES DE EFICIENCIA ENERGÉTICA</t>
  </si>
  <si>
    <t>Mwh/HDO</t>
  </si>
  <si>
    <t>Gasolina (Del CDA Miles de Litros/ Miles de km)</t>
  </si>
  <si>
    <t>ML/MKM</t>
  </si>
  <si>
    <t>Diésel (Del CDA Miles de Litros/ Miles de km)</t>
  </si>
  <si>
    <t>Hecho por: Oscar Ramón Rodríguez Socarrás</t>
  </si>
  <si>
    <t>Revisado por: Daryll Hector Pirez Alvarez</t>
  </si>
  <si>
    <t>Aprobado por:Debora Maria Henriquez Lorenzo</t>
  </si>
  <si>
    <t>FECHA</t>
  </si>
  <si>
    <t>M</t>
  </si>
  <si>
    <t>D</t>
  </si>
  <si>
    <t>Fondo Salario 2026</t>
  </si>
  <si>
    <t>II Sem 2025</t>
  </si>
  <si>
    <t>Propuesta 2 significa</t>
  </si>
  <si>
    <t>1-   incremento del componente salario en las fichas de precios de los servicios gastronomicos que es un 5% por encima del actual</t>
  </si>
  <si>
    <t>2- duplicar el precio del alojamiento en moneda nacional actual</t>
  </si>
  <si>
    <t>CMViejo</t>
  </si>
  <si>
    <t>Pago 10 USD</t>
  </si>
  <si>
    <t>Propuesta 2</t>
  </si>
  <si>
    <t>B  - ESTIM EN DIVISAS PROM (1200 PESOS MENSUAL)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</si>
</sst>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-* #,##0\ _$_-;\-* #,##0\ _$_-;_-* &quot;-&quot;??\ _$_-;_-@_-"/>
    <numFmt numFmtId="165" formatCode="_-* #,##0_-;\-* #,##0_-;_-* &quot;-&quot;??_-;_-@_-"/>
    <numFmt numFmtId="166" formatCode="_-* #,##0.00\ _$_-;\-* #,##0.00\ _$_-;_-* &quot;-&quot;??\ _$_-;_-@_-"/>
    <numFmt numFmtId="167" formatCode="0.0000"/>
    <numFmt numFmtId="168" formatCode="#,##0.00_ ;[Red]\-#,##0.00\ "/>
    <numFmt numFmtId="169" formatCode="#,##0.0"/>
    <numFmt numFmtId="170" formatCode="0.0%"/>
    <numFmt numFmtId="171" formatCode="#,##0_ ;[Red]\-#,##0\ "/>
    <numFmt numFmtId="172" formatCode="#,##0.0000_ ;[Red]\-#,##0.0000\ "/>
    <numFmt numFmtId="173" formatCode="#,##0.0_ ;[Red]\-#,##0.0\ "/>
    <numFmt numFmtId="174" formatCode="#,##0.0000"/>
    <numFmt numFmtId="175" formatCode="#,##0.000"/>
    <numFmt numFmtId="176" formatCode="#,##0.000000000000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Arial Narrow"/>
      <family val="2"/>
    </font>
    <font>
      <b/>
      <sz val="10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8"/>
      <color rgb="FF000000"/>
      <name val="Arial Narrow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trike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C00000"/>
      <name val="Arial"/>
      <family val="2"/>
    </font>
    <font>
      <vertAlign val="superscript"/>
      <sz val="12"/>
      <color theme="1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11" fillId="0" borderId="0"/>
    <xf numFmtId="0" fontId="2" fillId="0" borderId="0"/>
    <xf numFmtId="0" fontId="1" fillId="0" borderId="0"/>
  </cellStyleXfs>
  <cellXfs count="438">
    <xf numFmtId="0" fontId="0" fillId="0" borderId="0" xfId="0"/>
    <xf numFmtId="0" fontId="5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0" borderId="0" xfId="0" applyFont="1"/>
    <xf numFmtId="0" fontId="4" fillId="3" borderId="2" xfId="0" applyFont="1" applyFill="1" applyBorder="1" applyAlignment="1">
      <alignment horizontal="center"/>
    </xf>
    <xf numFmtId="0" fontId="7" fillId="3" borderId="10" xfId="0" applyFont="1" applyFill="1" applyBorder="1"/>
    <xf numFmtId="43" fontId="8" fillId="0" borderId="11" xfId="1" applyFont="1" applyBorder="1" applyAlignment="1">
      <alignment horizontal="center"/>
    </xf>
    <xf numFmtId="164" fontId="8" fillId="0" borderId="11" xfId="1" applyNumberFormat="1" applyFont="1" applyBorder="1" applyAlignment="1">
      <alignment horizontal="center"/>
    </xf>
    <xf numFmtId="0" fontId="7" fillId="3" borderId="12" xfId="0" applyFont="1" applyFill="1" applyBorder="1"/>
    <xf numFmtId="0" fontId="4" fillId="3" borderId="5" xfId="0" applyFont="1" applyFill="1" applyBorder="1"/>
    <xf numFmtId="43" fontId="4" fillId="3" borderId="9" xfId="1" applyFont="1" applyFill="1" applyBorder="1" applyAlignment="1">
      <alignment horizontal="center"/>
    </xf>
    <xf numFmtId="165" fontId="4" fillId="3" borderId="9" xfId="1" applyNumberFormat="1" applyFont="1" applyFill="1" applyBorder="1" applyAlignment="1">
      <alignment horizontal="center"/>
    </xf>
    <xf numFmtId="164" fontId="5" fillId="3" borderId="0" xfId="0" applyNumberFormat="1" applyFont="1" applyFill="1"/>
    <xf numFmtId="0" fontId="5" fillId="3" borderId="0" xfId="0" applyFont="1" applyFill="1"/>
    <xf numFmtId="0" fontId="7" fillId="0" borderId="10" xfId="0" applyFont="1" applyBorder="1"/>
    <xf numFmtId="166" fontId="8" fillId="0" borderId="11" xfId="1" applyNumberFormat="1" applyFont="1" applyBorder="1" applyAlignment="1">
      <alignment horizontal="center"/>
    </xf>
    <xf numFmtId="166" fontId="8" fillId="0" borderId="10" xfId="1" applyNumberFormat="1" applyFont="1" applyBorder="1" applyAlignment="1">
      <alignment horizontal="center"/>
    </xf>
    <xf numFmtId="167" fontId="5" fillId="0" borderId="14" xfId="0" applyNumberFormat="1" applyFont="1" applyBorder="1" applyAlignment="1">
      <alignment horizontal="center"/>
    </xf>
    <xf numFmtId="167" fontId="7" fillId="3" borderId="10" xfId="0" applyNumberFormat="1" applyFont="1" applyFill="1" applyBorder="1"/>
    <xf numFmtId="166" fontId="10" fillId="4" borderId="11" xfId="1" applyNumberFormat="1" applyFont="1" applyFill="1" applyBorder="1" applyAlignment="1">
      <alignment horizontal="center"/>
    </xf>
    <xf numFmtId="166" fontId="10" fillId="4" borderId="10" xfId="1" applyNumberFormat="1" applyFont="1" applyFill="1" applyBorder="1" applyAlignment="1">
      <alignment horizontal="center"/>
    </xf>
    <xf numFmtId="0" fontId="4" fillId="0" borderId="0" xfId="0" applyFont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14" xfId="0" applyFont="1" applyFill="1" applyBorder="1"/>
    <xf numFmtId="0" fontId="4" fillId="3" borderId="3" xfId="0" applyFont="1" applyFill="1" applyBorder="1"/>
    <xf numFmtId="168" fontId="0" fillId="0" borderId="0" xfId="0" applyNumberFormat="1"/>
    <xf numFmtId="0" fontId="11" fillId="0" borderId="0" xfId="2"/>
    <xf numFmtId="168" fontId="11" fillId="0" borderId="0" xfId="2" applyNumberFormat="1"/>
    <xf numFmtId="0" fontId="13" fillId="5" borderId="0" xfId="2" applyFont="1" applyFill="1" applyAlignment="1">
      <alignment horizontal="center" vertical="center" wrapText="1"/>
    </xf>
    <xf numFmtId="168" fontId="13" fillId="5" borderId="0" xfId="2" applyNumberFormat="1" applyFont="1" applyFill="1" applyAlignment="1">
      <alignment horizontal="center" vertical="center" wrapText="1"/>
    </xf>
    <xf numFmtId="0" fontId="14" fillId="6" borderId="4" xfId="2" applyFont="1" applyFill="1" applyBorder="1" applyAlignment="1">
      <alignment horizontal="center" vertical="center"/>
    </xf>
    <xf numFmtId="0" fontId="12" fillId="5" borderId="16" xfId="2" applyFont="1" applyFill="1" applyBorder="1" applyAlignment="1">
      <alignment vertical="center" wrapText="1"/>
    </xf>
    <xf numFmtId="0" fontId="15" fillId="5" borderId="16" xfId="2" applyFont="1" applyFill="1" applyBorder="1" applyAlignment="1">
      <alignment horizontal="center" vertical="center" wrapText="1"/>
    </xf>
    <xf numFmtId="0" fontId="13" fillId="7" borderId="16" xfId="2" applyFont="1" applyFill="1" applyBorder="1" applyAlignment="1">
      <alignment horizontal="center" vertical="center" wrapText="1"/>
    </xf>
    <xf numFmtId="0" fontId="13" fillId="7" borderId="0" xfId="2" applyFont="1" applyFill="1" applyAlignment="1">
      <alignment horizontal="center" vertical="center" wrapText="1"/>
    </xf>
    <xf numFmtId="168" fontId="13" fillId="7" borderId="0" xfId="2" applyNumberFormat="1" applyFont="1" applyFill="1" applyAlignment="1">
      <alignment horizontal="center" vertical="center" wrapText="1"/>
    </xf>
    <xf numFmtId="0" fontId="14" fillId="6" borderId="24" xfId="2" applyFont="1" applyFill="1" applyBorder="1" applyAlignment="1">
      <alignment horizontal="center" vertical="center"/>
    </xf>
    <xf numFmtId="0" fontId="13" fillId="8" borderId="16" xfId="2" applyFont="1" applyFill="1" applyBorder="1" applyAlignment="1">
      <alignment horizontal="center" vertical="center" wrapText="1"/>
    </xf>
    <xf numFmtId="168" fontId="13" fillId="8" borderId="16" xfId="2" applyNumberFormat="1" applyFont="1" applyFill="1" applyBorder="1" applyAlignment="1">
      <alignment horizontal="center" vertical="center" wrapText="1"/>
    </xf>
    <xf numFmtId="0" fontId="15" fillId="8" borderId="16" xfId="2" applyFont="1" applyFill="1" applyBorder="1" applyAlignment="1">
      <alignment horizontal="center" vertical="center" wrapText="1"/>
    </xf>
    <xf numFmtId="0" fontId="13" fillId="8" borderId="0" xfId="2" applyFont="1" applyFill="1" applyAlignment="1">
      <alignment horizontal="center" vertical="center" wrapText="1"/>
    </xf>
    <xf numFmtId="168" fontId="13" fillId="8" borderId="0" xfId="2" applyNumberFormat="1" applyFont="1" applyFill="1" applyAlignment="1">
      <alignment horizontal="center" vertical="center" wrapText="1"/>
    </xf>
    <xf numFmtId="0" fontId="13" fillId="0" borderId="16" xfId="2" applyFont="1" applyBorder="1" applyAlignment="1">
      <alignment horizontal="left" vertical="center" wrapText="1"/>
    </xf>
    <xf numFmtId="0" fontId="13" fillId="0" borderId="16" xfId="2" applyFont="1" applyBorder="1" applyAlignment="1">
      <alignment horizontal="center" vertical="center"/>
    </xf>
    <xf numFmtId="4" fontId="12" fillId="0" borderId="16" xfId="2" applyNumberFormat="1" applyFont="1" applyBorder="1" applyAlignment="1">
      <alignment horizontal="right" vertical="center" wrapText="1"/>
    </xf>
    <xf numFmtId="169" fontId="12" fillId="0" borderId="16" xfId="2" applyNumberFormat="1" applyFont="1" applyBorder="1" applyAlignment="1">
      <alignment horizontal="right" vertical="center" wrapText="1"/>
    </xf>
    <xf numFmtId="170" fontId="17" fillId="0" borderId="16" xfId="2" applyNumberFormat="1" applyFont="1" applyBorder="1"/>
    <xf numFmtId="170" fontId="18" fillId="0" borderId="16" xfId="2" applyNumberFormat="1" applyFont="1" applyBorder="1"/>
    <xf numFmtId="170" fontId="18" fillId="0" borderId="0" xfId="2" applyNumberFormat="1" applyFont="1"/>
    <xf numFmtId="168" fontId="18" fillId="0" borderId="0" xfId="2" applyNumberFormat="1" applyFont="1"/>
    <xf numFmtId="0" fontId="16" fillId="6" borderId="27" xfId="2" applyFont="1" applyFill="1" applyBorder="1" applyAlignment="1">
      <alignment horizontal="center" vertical="center" wrapText="1"/>
    </xf>
    <xf numFmtId="0" fontId="16" fillId="6" borderId="1" xfId="2" applyFont="1" applyFill="1" applyBorder="1" applyAlignment="1">
      <alignment horizontal="center" vertical="center" wrapText="1"/>
    </xf>
    <xf numFmtId="0" fontId="14" fillId="6" borderId="29" xfId="2" applyFont="1" applyFill="1" applyBorder="1" applyAlignment="1">
      <alignment vertical="center"/>
    </xf>
    <xf numFmtId="0" fontId="14" fillId="6" borderId="27" xfId="2" applyFont="1" applyFill="1" applyBorder="1" applyAlignment="1">
      <alignment horizontal="center" vertical="center"/>
    </xf>
    <xf numFmtId="0" fontId="19" fillId="6" borderId="27" xfId="2" applyFont="1" applyFill="1" applyBorder="1" applyAlignment="1">
      <alignment horizontal="right" vertical="center" wrapText="1"/>
    </xf>
    <xf numFmtId="0" fontId="19" fillId="6" borderId="1" xfId="2" applyFont="1" applyFill="1" applyBorder="1" applyAlignment="1">
      <alignment horizontal="right" vertical="center" wrapText="1"/>
    </xf>
    <xf numFmtId="0" fontId="19" fillId="6" borderId="29" xfId="2" applyFont="1" applyFill="1" applyBorder="1" applyAlignment="1">
      <alignment horizontal="right" vertical="center" wrapText="1"/>
    </xf>
    <xf numFmtId="0" fontId="19" fillId="0" borderId="29" xfId="2" applyFont="1" applyBorder="1" applyAlignment="1">
      <alignment vertical="center"/>
    </xf>
    <xf numFmtId="0" fontId="19" fillId="0" borderId="27" xfId="2" applyFont="1" applyBorder="1" applyAlignment="1">
      <alignment horizontal="center" vertical="center"/>
    </xf>
    <xf numFmtId="4" fontId="19" fillId="0" borderId="27" xfId="2" applyNumberFormat="1" applyFont="1" applyBorder="1" applyAlignment="1">
      <alignment horizontal="center" vertical="center" wrapText="1"/>
    </xf>
    <xf numFmtId="170" fontId="19" fillId="0" borderId="1" xfId="2" applyNumberFormat="1" applyFont="1" applyBorder="1" applyAlignment="1">
      <alignment horizontal="center" vertical="center" wrapText="1"/>
    </xf>
    <xf numFmtId="170" fontId="19" fillId="0" borderId="29" xfId="2" applyNumberFormat="1" applyFont="1" applyBorder="1" applyAlignment="1">
      <alignment horizontal="center" vertical="center" wrapText="1"/>
    </xf>
    <xf numFmtId="0" fontId="20" fillId="0" borderId="16" xfId="2" applyFont="1" applyBorder="1" applyAlignment="1">
      <alignment horizontal="left" vertical="center" wrapText="1"/>
    </xf>
    <xf numFmtId="3" fontId="12" fillId="5" borderId="16" xfId="2" applyNumberFormat="1" applyFont="1" applyFill="1" applyBorder="1" applyAlignment="1">
      <alignment horizontal="right" vertical="center" wrapText="1"/>
    </xf>
    <xf numFmtId="169" fontId="12" fillId="5" borderId="16" xfId="2" applyNumberFormat="1" applyFont="1" applyFill="1" applyBorder="1" applyAlignment="1">
      <alignment horizontal="right" vertical="center" wrapText="1"/>
    </xf>
    <xf numFmtId="167" fontId="19" fillId="0" borderId="27" xfId="2" applyNumberFormat="1" applyFont="1" applyBorder="1" applyAlignment="1">
      <alignment horizontal="center" vertical="center" wrapText="1"/>
    </xf>
    <xf numFmtId="169" fontId="12" fillId="9" borderId="16" xfId="2" applyNumberFormat="1" applyFont="1" applyFill="1" applyBorder="1" applyAlignment="1">
      <alignment horizontal="right" vertical="center" wrapText="1"/>
    </xf>
    <xf numFmtId="0" fontId="19" fillId="6" borderId="27" xfId="2" applyFont="1" applyFill="1" applyBorder="1" applyAlignment="1">
      <alignment horizontal="center" vertical="center" wrapText="1"/>
    </xf>
    <xf numFmtId="170" fontId="19" fillId="6" borderId="1" xfId="2" applyNumberFormat="1" applyFont="1" applyFill="1" applyBorder="1" applyAlignment="1">
      <alignment horizontal="center" vertical="center" wrapText="1"/>
    </xf>
    <xf numFmtId="170" fontId="19" fillId="6" borderId="29" xfId="2" applyNumberFormat="1" applyFont="1" applyFill="1" applyBorder="1" applyAlignment="1">
      <alignment horizontal="center" vertical="center" wrapText="1"/>
    </xf>
    <xf numFmtId="3" fontId="19" fillId="0" borderId="27" xfId="2" applyNumberFormat="1" applyFont="1" applyBorder="1" applyAlignment="1">
      <alignment horizontal="center" vertical="center" wrapText="1"/>
    </xf>
    <xf numFmtId="3" fontId="12" fillId="0" borderId="16" xfId="2" applyNumberFormat="1" applyFont="1" applyBorder="1" applyAlignment="1">
      <alignment horizontal="right" vertical="center" wrapText="1"/>
    </xf>
    <xf numFmtId="0" fontId="19" fillId="0" borderId="29" xfId="2" applyFont="1" applyBorder="1" applyAlignment="1">
      <alignment horizontal="right" vertical="center"/>
    </xf>
    <xf numFmtId="4" fontId="21" fillId="0" borderId="27" xfId="2" applyNumberFormat="1" applyFont="1" applyBorder="1" applyAlignment="1">
      <alignment horizontal="center" vertical="center" wrapText="1"/>
    </xf>
    <xf numFmtId="170" fontId="21" fillId="0" borderId="1" xfId="2" applyNumberFormat="1" applyFont="1" applyBorder="1" applyAlignment="1">
      <alignment horizontal="center" vertical="center" wrapText="1"/>
    </xf>
    <xf numFmtId="170" fontId="21" fillId="0" borderId="29" xfId="2" applyNumberFormat="1" applyFont="1" applyBorder="1" applyAlignment="1">
      <alignment horizontal="center" vertical="center" wrapText="1"/>
    </xf>
    <xf numFmtId="1" fontId="12" fillId="2" borderId="16" xfId="2" applyNumberFormat="1" applyFont="1" applyFill="1" applyBorder="1" applyAlignment="1">
      <alignment horizontal="right" vertical="center" wrapText="1"/>
    </xf>
    <xf numFmtId="0" fontId="21" fillId="0" borderId="27" xfId="2" applyFont="1" applyBorder="1" applyAlignment="1">
      <alignment horizontal="center" vertical="center" wrapText="1"/>
    </xf>
    <xf numFmtId="0" fontId="13" fillId="10" borderId="16" xfId="2" applyFont="1" applyFill="1" applyBorder="1" applyAlignment="1">
      <alignment horizontal="left" vertical="center" wrapText="1"/>
    </xf>
    <xf numFmtId="0" fontId="13" fillId="10" borderId="16" xfId="2" applyFont="1" applyFill="1" applyBorder="1" applyAlignment="1">
      <alignment horizontal="center" vertical="center"/>
    </xf>
    <xf numFmtId="1" fontId="12" fillId="11" borderId="18" xfId="2" applyNumberFormat="1" applyFont="1" applyFill="1" applyBorder="1" applyAlignment="1" applyProtection="1">
      <alignment horizontal="right" vertical="center" wrapText="1"/>
      <protection locked="0"/>
    </xf>
    <xf numFmtId="1" fontId="12" fillId="11" borderId="19" xfId="2" applyNumberFormat="1" applyFont="1" applyFill="1" applyBorder="1" applyAlignment="1" applyProtection="1">
      <alignment horizontal="right" vertical="center" wrapText="1"/>
      <protection locked="0"/>
    </xf>
    <xf numFmtId="167" fontId="17" fillId="10" borderId="16" xfId="2" applyNumberFormat="1" applyFont="1" applyFill="1" applyBorder="1"/>
    <xf numFmtId="167" fontId="18" fillId="10" borderId="0" xfId="2" applyNumberFormat="1" applyFont="1" applyFill="1"/>
    <xf numFmtId="168" fontId="18" fillId="10" borderId="0" xfId="2" applyNumberFormat="1" applyFont="1" applyFill="1"/>
    <xf numFmtId="167" fontId="12" fillId="5" borderId="16" xfId="2" applyNumberFormat="1" applyFont="1" applyFill="1" applyBorder="1" applyAlignment="1" applyProtection="1">
      <alignment horizontal="right" vertical="center" wrapText="1"/>
      <protection locked="0"/>
    </xf>
    <xf numFmtId="1" fontId="17" fillId="10" borderId="16" xfId="2" applyNumberFormat="1" applyFont="1" applyFill="1" applyBorder="1"/>
    <xf numFmtId="168" fontId="13" fillId="10" borderId="0" xfId="2" applyNumberFormat="1" applyFont="1" applyFill="1" applyAlignment="1">
      <alignment horizontal="center" vertical="center"/>
    </xf>
    <xf numFmtId="1" fontId="12" fillId="11" borderId="0" xfId="2" applyNumberFormat="1" applyFont="1" applyFill="1" applyAlignment="1" applyProtection="1">
      <alignment horizontal="right" vertical="center" wrapText="1"/>
      <protection locked="0"/>
    </xf>
    <xf numFmtId="169" fontId="17" fillId="10" borderId="16" xfId="2" applyNumberFormat="1" applyFont="1" applyFill="1" applyBorder="1"/>
    <xf numFmtId="169" fontId="18" fillId="10" borderId="0" xfId="2" applyNumberFormat="1" applyFont="1" applyFill="1"/>
    <xf numFmtId="170" fontId="19" fillId="0" borderId="13" xfId="2" applyNumberFormat="1" applyFont="1" applyBorder="1" applyAlignment="1">
      <alignment horizontal="center" vertical="center" wrapText="1"/>
    </xf>
    <xf numFmtId="168" fontId="13" fillId="0" borderId="16" xfId="2" applyNumberFormat="1" applyFont="1" applyBorder="1" applyAlignment="1">
      <alignment horizontal="center" vertical="center"/>
    </xf>
    <xf numFmtId="171" fontId="13" fillId="0" borderId="16" xfId="2" applyNumberFormat="1" applyFont="1" applyBorder="1" applyAlignment="1">
      <alignment horizontal="center" vertical="center"/>
    </xf>
    <xf numFmtId="168" fontId="13" fillId="10" borderId="18" xfId="2" applyNumberFormat="1" applyFont="1" applyFill="1" applyBorder="1" applyAlignment="1">
      <alignment horizontal="center" vertical="center"/>
    </xf>
    <xf numFmtId="167" fontId="17" fillId="12" borderId="16" xfId="2" applyNumberFormat="1" applyFont="1" applyFill="1" applyBorder="1"/>
    <xf numFmtId="167" fontId="17" fillId="12" borderId="0" xfId="2" applyNumberFormat="1" applyFont="1" applyFill="1"/>
    <xf numFmtId="168" fontId="17" fillId="12" borderId="0" xfId="2" applyNumberFormat="1" applyFont="1" applyFill="1"/>
    <xf numFmtId="168" fontId="13" fillId="10" borderId="16" xfId="2" applyNumberFormat="1" applyFont="1" applyFill="1" applyBorder="1" applyAlignment="1">
      <alignment horizontal="center" vertical="center"/>
    </xf>
    <xf numFmtId="2" fontId="12" fillId="5" borderId="16" xfId="2" applyNumberFormat="1" applyFont="1" applyFill="1" applyBorder="1" applyAlignment="1" applyProtection="1">
      <alignment horizontal="right" vertical="center" wrapText="1"/>
      <protection locked="0"/>
    </xf>
    <xf numFmtId="167" fontId="18" fillId="12" borderId="0" xfId="2" applyNumberFormat="1" applyFont="1" applyFill="1"/>
    <xf numFmtId="168" fontId="18" fillId="12" borderId="0" xfId="2" applyNumberFormat="1" applyFont="1" applyFill="1"/>
    <xf numFmtId="172" fontId="13" fillId="10" borderId="16" xfId="2" applyNumberFormat="1" applyFont="1" applyFill="1" applyBorder="1" applyAlignment="1">
      <alignment horizontal="center" vertical="center"/>
    </xf>
    <xf numFmtId="173" fontId="17" fillId="10" borderId="16" xfId="2" applyNumberFormat="1" applyFont="1" applyFill="1" applyBorder="1"/>
    <xf numFmtId="171" fontId="12" fillId="0" borderId="16" xfId="2" applyNumberFormat="1" applyFont="1" applyBorder="1" applyAlignment="1">
      <alignment horizontal="right" vertical="center" wrapText="1"/>
    </xf>
    <xf numFmtId="10" fontId="17" fillId="10" borderId="16" xfId="2" applyNumberFormat="1" applyFont="1" applyFill="1" applyBorder="1"/>
    <xf numFmtId="169" fontId="17" fillId="12" borderId="16" xfId="2" applyNumberFormat="1" applyFont="1" applyFill="1" applyBorder="1"/>
    <xf numFmtId="167" fontId="18" fillId="12" borderId="16" xfId="2" applyNumberFormat="1" applyFont="1" applyFill="1" applyBorder="1"/>
    <xf numFmtId="1" fontId="17" fillId="10" borderId="0" xfId="2" applyNumberFormat="1" applyFont="1" applyFill="1"/>
    <xf numFmtId="168" fontId="17" fillId="10" borderId="0" xfId="2" applyNumberFormat="1" applyFont="1" applyFill="1"/>
    <xf numFmtId="173" fontId="17" fillId="10" borderId="0" xfId="2" applyNumberFormat="1" applyFont="1" applyFill="1"/>
    <xf numFmtId="0" fontId="22" fillId="0" borderId="0" xfId="3" applyFont="1"/>
    <xf numFmtId="0" fontId="2" fillId="0" borderId="0" xfId="3"/>
    <xf numFmtId="4" fontId="2" fillId="0" borderId="0" xfId="3" applyNumberFormat="1"/>
    <xf numFmtId="9" fontId="2" fillId="0" borderId="0" xfId="3" applyNumberFormat="1"/>
    <xf numFmtId="174" fontId="2" fillId="0" borderId="0" xfId="3" applyNumberFormat="1"/>
    <xf numFmtId="168" fontId="11" fillId="0" borderId="0" xfId="0" applyNumberFormat="1" applyFont="1"/>
    <xf numFmtId="0" fontId="6" fillId="2" borderId="1" xfId="0" applyFont="1" applyFill="1" applyBorder="1" applyAlignment="1">
      <alignment horizontal="right" vertical="center"/>
    </xf>
    <xf numFmtId="164" fontId="8" fillId="0" borderId="10" xfId="1" applyNumberFormat="1" applyFont="1" applyBorder="1" applyAlignment="1">
      <alignment horizontal="center"/>
    </xf>
    <xf numFmtId="165" fontId="4" fillId="3" borderId="5" xfId="1" applyNumberFormat="1" applyFont="1" applyFill="1" applyBorder="1" applyAlignment="1">
      <alignment horizontal="center"/>
    </xf>
    <xf numFmtId="164" fontId="5" fillId="0" borderId="46" xfId="0" applyNumberFormat="1" applyFont="1" applyBorder="1"/>
    <xf numFmtId="164" fontId="5" fillId="0" borderId="47" xfId="0" applyNumberFormat="1" applyFont="1" applyBorder="1"/>
    <xf numFmtId="164" fontId="8" fillId="0" borderId="30" xfId="1" applyNumberFormat="1" applyFont="1" applyBorder="1" applyAlignment="1">
      <alignment horizontal="center"/>
    </xf>
    <xf numFmtId="164" fontId="8" fillId="0" borderId="5" xfId="1" applyNumberFormat="1" applyFont="1" applyBorder="1" applyAlignment="1">
      <alignment horizontal="center"/>
    </xf>
    <xf numFmtId="164" fontId="5" fillId="0" borderId="48" xfId="0" applyNumberFormat="1" applyFont="1" applyBorder="1"/>
    <xf numFmtId="167" fontId="5" fillId="0" borderId="10" xfId="0" applyNumberFormat="1" applyFont="1" applyBorder="1" applyAlignment="1">
      <alignment horizontal="center"/>
    </xf>
    <xf numFmtId="167" fontId="5" fillId="0" borderId="42" xfId="0" applyNumberFormat="1" applyFont="1" applyBorder="1" applyAlignment="1">
      <alignment horizontal="center"/>
    </xf>
    <xf numFmtId="167" fontId="5" fillId="0" borderId="34" xfId="0" applyNumberFormat="1" applyFont="1" applyBorder="1" applyAlignment="1">
      <alignment horizontal="center"/>
    </xf>
    <xf numFmtId="167" fontId="5" fillId="0" borderId="13" xfId="0" applyNumberFormat="1" applyFont="1" applyBorder="1" applyAlignment="1">
      <alignment horizontal="center"/>
    </xf>
    <xf numFmtId="167" fontId="5" fillId="0" borderId="29" xfId="0" applyNumberFormat="1" applyFont="1" applyBorder="1" applyAlignment="1">
      <alignment horizontal="center"/>
    </xf>
    <xf numFmtId="164" fontId="5" fillId="4" borderId="9" xfId="0" applyNumberFormat="1" applyFont="1" applyFill="1" applyBorder="1"/>
    <xf numFmtId="166" fontId="8" fillId="4" borderId="11" xfId="1" applyNumberFormat="1" applyFont="1" applyFill="1" applyBorder="1" applyAlignment="1">
      <alignment horizontal="center"/>
    </xf>
    <xf numFmtId="166" fontId="8" fillId="4" borderId="10" xfId="1" applyNumberFormat="1" applyFont="1" applyFill="1" applyBorder="1" applyAlignment="1">
      <alignment horizontal="center"/>
    </xf>
    <xf numFmtId="167" fontId="4" fillId="4" borderId="5" xfId="0" applyNumberFormat="1" applyFont="1" applyFill="1" applyBorder="1" applyAlignment="1">
      <alignment horizontal="center"/>
    </xf>
    <xf numFmtId="167" fontId="4" fillId="4" borderId="9" xfId="0" applyNumberFormat="1" applyFont="1" applyFill="1" applyBorder="1" applyAlignment="1">
      <alignment horizontal="center"/>
    </xf>
    <xf numFmtId="168" fontId="0" fillId="6" borderId="0" xfId="0" applyNumberFormat="1" applyFill="1"/>
    <xf numFmtId="0" fontId="23" fillId="0" borderId="0" xfId="4" applyFont="1"/>
    <xf numFmtId="0" fontId="23" fillId="0" borderId="0" xfId="4" applyFont="1" applyAlignment="1">
      <alignment horizontal="left"/>
    </xf>
    <xf numFmtId="0" fontId="1" fillId="0" borderId="0" xfId="4"/>
    <xf numFmtId="0" fontId="24" fillId="0" borderId="0" xfId="4" applyFont="1" applyAlignment="1">
      <alignment vertical="center"/>
    </xf>
    <xf numFmtId="169" fontId="26" fillId="0" borderId="0" xfId="4" applyNumberFormat="1" applyFont="1"/>
    <xf numFmtId="169" fontId="23" fillId="0" borderId="0" xfId="4" applyNumberFormat="1" applyFont="1"/>
    <xf numFmtId="0" fontId="26" fillId="0" borderId="0" xfId="4" applyFont="1"/>
    <xf numFmtId="0" fontId="24" fillId="6" borderId="27" xfId="4" applyFont="1" applyFill="1" applyBorder="1" applyAlignment="1">
      <alignment horizontal="center" vertical="center" wrapText="1"/>
    </xf>
    <xf numFmtId="0" fontId="27" fillId="6" borderId="27" xfId="4" applyFont="1" applyFill="1" applyBorder="1" applyAlignment="1">
      <alignment horizontal="center" vertical="center" wrapText="1"/>
    </xf>
    <xf numFmtId="0" fontId="24" fillId="6" borderId="9" xfId="4" applyFont="1" applyFill="1" applyBorder="1" applyAlignment="1">
      <alignment horizontal="center" vertical="center" wrapText="1"/>
    </xf>
    <xf numFmtId="0" fontId="24" fillId="6" borderId="7" xfId="4" applyFont="1" applyFill="1" applyBorder="1" applyAlignment="1">
      <alignment horizontal="center" vertical="center" wrapText="1"/>
    </xf>
    <xf numFmtId="0" fontId="27" fillId="6" borderId="7" xfId="4" applyFont="1" applyFill="1" applyBorder="1" applyAlignment="1">
      <alignment horizontal="center" vertical="center" wrapText="1"/>
    </xf>
    <xf numFmtId="0" fontId="24" fillId="6" borderId="5" xfId="4" applyFont="1" applyFill="1" applyBorder="1" applyAlignment="1">
      <alignment horizontal="center" vertical="center" wrapText="1"/>
    </xf>
    <xf numFmtId="0" fontId="24" fillId="6" borderId="29" xfId="4" applyFont="1" applyFill="1" applyBorder="1" applyAlignment="1">
      <alignment vertical="center"/>
    </xf>
    <xf numFmtId="0" fontId="28" fillId="6" borderId="27" xfId="4" applyFont="1" applyFill="1" applyBorder="1" applyAlignment="1">
      <alignment horizontal="center" vertical="center"/>
    </xf>
    <xf numFmtId="169" fontId="28" fillId="6" borderId="27" xfId="4" applyNumberFormat="1" applyFont="1" applyFill="1" applyBorder="1" applyAlignment="1">
      <alignment horizontal="right" vertical="center" wrapText="1"/>
    </xf>
    <xf numFmtId="169" fontId="28" fillId="6" borderId="13" xfId="4" applyNumberFormat="1" applyFont="1" applyFill="1" applyBorder="1" applyAlignment="1">
      <alignment horizontal="right" vertical="center" wrapText="1"/>
    </xf>
    <xf numFmtId="169" fontId="28" fillId="6" borderId="5" xfId="4" applyNumberFormat="1" applyFont="1" applyFill="1" applyBorder="1" applyAlignment="1">
      <alignment horizontal="right" vertical="center" wrapText="1"/>
    </xf>
    <xf numFmtId="169" fontId="28" fillId="6" borderId="9" xfId="4" applyNumberFormat="1" applyFont="1" applyFill="1" applyBorder="1" applyAlignment="1">
      <alignment horizontal="right" vertical="center" wrapText="1"/>
    </xf>
    <xf numFmtId="0" fontId="28" fillId="0" borderId="29" xfId="4" applyFont="1" applyBorder="1" applyAlignment="1">
      <alignment vertical="center"/>
    </xf>
    <xf numFmtId="0" fontId="28" fillId="0" borderId="27" xfId="4" applyFont="1" applyBorder="1" applyAlignment="1">
      <alignment horizontal="center" vertical="center"/>
    </xf>
    <xf numFmtId="169" fontId="28" fillId="0" borderId="27" xfId="4" applyNumberFormat="1" applyFont="1" applyBorder="1" applyAlignment="1">
      <alignment horizontal="right" vertical="center" wrapText="1"/>
    </xf>
    <xf numFmtId="169" fontId="28" fillId="0" borderId="5" xfId="4" applyNumberFormat="1" applyFont="1" applyBorder="1" applyAlignment="1">
      <alignment horizontal="right" vertical="center" wrapText="1"/>
    </xf>
    <xf numFmtId="10" fontId="28" fillId="0" borderId="9" xfId="4" applyNumberFormat="1" applyFont="1" applyBorder="1" applyAlignment="1">
      <alignment horizontal="right" vertical="center" wrapText="1"/>
    </xf>
    <xf numFmtId="0" fontId="28" fillId="4" borderId="29" xfId="4" applyFont="1" applyFill="1" applyBorder="1" applyAlignment="1">
      <alignment vertical="center"/>
    </xf>
    <xf numFmtId="0" fontId="28" fillId="4" borderId="27" xfId="4" applyFont="1" applyFill="1" applyBorder="1" applyAlignment="1">
      <alignment horizontal="center" vertical="center"/>
    </xf>
    <xf numFmtId="169" fontId="29" fillId="4" borderId="27" xfId="4" applyNumberFormat="1" applyFont="1" applyFill="1" applyBorder="1" applyAlignment="1">
      <alignment horizontal="right" vertical="center" wrapText="1"/>
    </xf>
    <xf numFmtId="170" fontId="29" fillId="4" borderId="27" xfId="4" applyNumberFormat="1" applyFont="1" applyFill="1" applyBorder="1" applyAlignment="1">
      <alignment horizontal="right" vertical="center" wrapText="1"/>
    </xf>
    <xf numFmtId="10" fontId="28" fillId="4" borderId="27" xfId="4" applyNumberFormat="1" applyFont="1" applyFill="1" applyBorder="1" applyAlignment="1">
      <alignment horizontal="right" vertical="center" wrapText="1"/>
    </xf>
    <xf numFmtId="0" fontId="28" fillId="4" borderId="9" xfId="4" applyFont="1" applyFill="1" applyBorder="1" applyAlignment="1">
      <alignment vertical="center"/>
    </xf>
    <xf numFmtId="0" fontId="28" fillId="4" borderId="7" xfId="4" applyFont="1" applyFill="1" applyBorder="1" applyAlignment="1">
      <alignment horizontal="center" vertical="center"/>
    </xf>
    <xf numFmtId="169" fontId="29" fillId="4" borderId="29" xfId="4" applyNumberFormat="1" applyFont="1" applyFill="1" applyBorder="1" applyAlignment="1">
      <alignment horizontal="right" vertical="center" wrapText="1"/>
    </xf>
    <xf numFmtId="0" fontId="30" fillId="4" borderId="29" xfId="4" applyFont="1" applyFill="1" applyBorder="1" applyAlignment="1">
      <alignment vertical="center"/>
    </xf>
    <xf numFmtId="0" fontId="24" fillId="4" borderId="27" xfId="4" applyFont="1" applyFill="1" applyBorder="1" applyAlignment="1">
      <alignment horizontal="center" vertical="center"/>
    </xf>
    <xf numFmtId="175" fontId="29" fillId="0" borderId="29" xfId="4" applyNumberFormat="1" applyFont="1" applyBorder="1" applyAlignment="1">
      <alignment horizontal="right" vertical="center" wrapText="1"/>
    </xf>
    <xf numFmtId="175" fontId="29" fillId="0" borderId="29" xfId="4" applyNumberFormat="1" applyFont="1" applyBorder="1" applyAlignment="1" applyProtection="1">
      <alignment horizontal="right" vertical="center" wrapText="1"/>
      <protection locked="0"/>
    </xf>
    <xf numFmtId="10" fontId="28" fillId="0" borderId="29" xfId="4" applyNumberFormat="1" applyFont="1" applyBorder="1" applyAlignment="1">
      <alignment horizontal="right" vertical="center" wrapText="1"/>
    </xf>
    <xf numFmtId="4" fontId="1" fillId="0" borderId="0" xfId="4" applyNumberFormat="1"/>
    <xf numFmtId="0" fontId="28" fillId="3" borderId="29" xfId="4" applyFont="1" applyFill="1" applyBorder="1" applyAlignment="1">
      <alignment vertical="center"/>
    </xf>
    <xf numFmtId="0" fontId="28" fillId="3" borderId="27" xfId="4" applyFont="1" applyFill="1" applyBorder="1" applyAlignment="1">
      <alignment horizontal="center" vertical="center"/>
    </xf>
    <xf numFmtId="169" fontId="29" fillId="3" borderId="29" xfId="4" applyNumberFormat="1" applyFont="1" applyFill="1" applyBorder="1" applyAlignment="1">
      <alignment horizontal="right" vertical="center" wrapText="1"/>
    </xf>
    <xf numFmtId="10" fontId="28" fillId="3" borderId="27" xfId="4" applyNumberFormat="1" applyFont="1" applyFill="1" applyBorder="1" applyAlignment="1">
      <alignment horizontal="right" vertical="center" wrapText="1"/>
    </xf>
    <xf numFmtId="175" fontId="29" fillId="14" borderId="29" xfId="4" applyNumberFormat="1" applyFont="1" applyFill="1" applyBorder="1" applyAlignment="1">
      <alignment horizontal="right" vertical="center" wrapText="1"/>
    </xf>
    <xf numFmtId="175" fontId="29" fillId="14" borderId="29" xfId="4" applyNumberFormat="1" applyFont="1" applyFill="1" applyBorder="1" applyAlignment="1" applyProtection="1">
      <alignment horizontal="right" vertical="center" wrapText="1"/>
      <protection locked="0"/>
    </xf>
    <xf numFmtId="175" fontId="29" fillId="14" borderId="27" xfId="4" applyNumberFormat="1" applyFont="1" applyFill="1" applyBorder="1" applyAlignment="1" applyProtection="1">
      <alignment horizontal="right" vertical="center" wrapText="1"/>
      <protection locked="0"/>
    </xf>
    <xf numFmtId="169" fontId="29" fillId="6" borderId="27" xfId="4" applyNumberFormat="1" applyFont="1" applyFill="1" applyBorder="1" applyAlignment="1">
      <alignment horizontal="right" vertical="center" wrapText="1"/>
    </xf>
    <xf numFmtId="169" fontId="29" fillId="6" borderId="13" xfId="4" applyNumberFormat="1" applyFont="1" applyFill="1" applyBorder="1" applyAlignment="1">
      <alignment horizontal="right" vertical="center" wrapText="1"/>
    </xf>
    <xf numFmtId="0" fontId="28" fillId="0" borderId="9" xfId="4" applyFont="1" applyBorder="1" applyAlignment="1">
      <alignment vertical="center"/>
    </xf>
    <xf numFmtId="0" fontId="28" fillId="0" borderId="7" xfId="4" applyFont="1" applyBorder="1" applyAlignment="1">
      <alignment horizontal="center" vertical="center"/>
    </xf>
    <xf numFmtId="175" fontId="29" fillId="0" borderId="27" xfId="4" applyNumberFormat="1" applyFont="1" applyBorder="1" applyAlignment="1">
      <alignment horizontal="right" vertical="center" wrapText="1"/>
    </xf>
    <xf numFmtId="175" fontId="29" fillId="0" borderId="27" xfId="4" applyNumberFormat="1" applyFont="1" applyBorder="1" applyAlignment="1" applyProtection="1">
      <alignment horizontal="right" vertical="center" wrapText="1"/>
      <protection locked="0"/>
    </xf>
    <xf numFmtId="175" fontId="29" fillId="0" borderId="13" xfId="4" applyNumberFormat="1" applyFont="1" applyBorder="1" applyAlignment="1" applyProtection="1">
      <alignment horizontal="right" vertical="center" wrapText="1"/>
      <protection locked="0"/>
    </xf>
    <xf numFmtId="10" fontId="28" fillId="0" borderId="5" xfId="4" applyNumberFormat="1" applyFont="1" applyBorder="1" applyAlignment="1">
      <alignment horizontal="right" vertical="center" wrapText="1"/>
    </xf>
    <xf numFmtId="169" fontId="29" fillId="0" borderId="27" xfId="4" applyNumberFormat="1" applyFont="1" applyBorder="1" applyAlignment="1">
      <alignment horizontal="right" vertical="center" wrapText="1"/>
    </xf>
    <xf numFmtId="175" fontId="29" fillId="14" borderId="27" xfId="4" applyNumberFormat="1" applyFont="1" applyFill="1" applyBorder="1" applyAlignment="1">
      <alignment horizontal="right" vertical="center" wrapText="1"/>
    </xf>
    <xf numFmtId="175" fontId="29" fillId="14" borderId="13" xfId="4" applyNumberFormat="1" applyFont="1" applyFill="1" applyBorder="1" applyAlignment="1" applyProtection="1">
      <alignment horizontal="right" vertical="center" wrapText="1"/>
      <protection locked="0"/>
    </xf>
    <xf numFmtId="169" fontId="29" fillId="3" borderId="27" xfId="4" applyNumberFormat="1" applyFont="1" applyFill="1" applyBorder="1" applyAlignment="1">
      <alignment horizontal="right" vertical="center" wrapText="1"/>
    </xf>
    <xf numFmtId="169" fontId="29" fillId="0" borderId="29" xfId="4" applyNumberFormat="1" applyFont="1" applyBorder="1" applyAlignment="1">
      <alignment horizontal="right" vertical="center" wrapText="1"/>
    </xf>
    <xf numFmtId="169" fontId="29" fillId="14" borderId="29" xfId="4" applyNumberFormat="1" applyFont="1" applyFill="1" applyBorder="1" applyAlignment="1">
      <alignment horizontal="right" vertical="center" wrapText="1"/>
    </xf>
    <xf numFmtId="4" fontId="29" fillId="0" borderId="29" xfId="4" applyNumberFormat="1" applyFont="1" applyBorder="1" applyAlignment="1">
      <alignment horizontal="right" vertical="center" wrapText="1"/>
    </xf>
    <xf numFmtId="4" fontId="29" fillId="0" borderId="27" xfId="4" applyNumberFormat="1" applyFont="1" applyBorder="1" applyAlignment="1">
      <alignment horizontal="right" vertical="center" wrapText="1"/>
    </xf>
    <xf numFmtId="0" fontId="30" fillId="0" borderId="29" xfId="4" applyFont="1" applyBorder="1" applyAlignment="1">
      <alignment vertical="center"/>
    </xf>
    <xf numFmtId="0" fontId="24" fillId="0" borderId="27" xfId="4" applyFont="1" applyBorder="1" applyAlignment="1">
      <alignment horizontal="center" vertical="center"/>
    </xf>
    <xf numFmtId="10" fontId="28" fillId="0" borderId="27" xfId="4" applyNumberFormat="1" applyFont="1" applyBorder="1" applyAlignment="1">
      <alignment horizontal="right" vertical="center" wrapText="1"/>
    </xf>
    <xf numFmtId="0" fontId="24" fillId="3" borderId="27" xfId="4" applyFont="1" applyFill="1" applyBorder="1" applyAlignment="1">
      <alignment horizontal="center" vertical="center"/>
    </xf>
    <xf numFmtId="169" fontId="29" fillId="0" borderId="13" xfId="4" applyNumberFormat="1" applyFont="1" applyBorder="1" applyAlignment="1">
      <alignment horizontal="right" vertical="center" wrapText="1"/>
    </xf>
    <xf numFmtId="169" fontId="28" fillId="0" borderId="9" xfId="4" applyNumberFormat="1" applyFont="1" applyBorder="1" applyAlignment="1">
      <alignment horizontal="right" vertical="center" wrapText="1"/>
    </xf>
    <xf numFmtId="175" fontId="28" fillId="3" borderId="27" xfId="4" applyNumberFormat="1" applyFont="1" applyFill="1" applyBorder="1" applyAlignment="1">
      <alignment horizontal="right" vertical="center" wrapText="1"/>
    </xf>
    <xf numFmtId="169" fontId="28" fillId="3" borderId="27" xfId="4" applyNumberFormat="1" applyFont="1" applyFill="1" applyBorder="1" applyAlignment="1">
      <alignment horizontal="right" vertical="center" wrapText="1"/>
    </xf>
    <xf numFmtId="169" fontId="28" fillId="0" borderId="29" xfId="4" applyNumberFormat="1" applyFont="1" applyBorder="1" applyAlignment="1">
      <alignment horizontal="right" vertical="center" wrapText="1"/>
    </xf>
    <xf numFmtId="169" fontId="28" fillId="3" borderId="9" xfId="4" applyNumberFormat="1" applyFont="1" applyFill="1" applyBorder="1" applyAlignment="1">
      <alignment horizontal="right" vertical="center" wrapText="1"/>
    </xf>
    <xf numFmtId="0" fontId="24" fillId="6" borderId="27" xfId="4" applyFont="1" applyFill="1" applyBorder="1" applyAlignment="1">
      <alignment horizontal="center" vertical="center"/>
    </xf>
    <xf numFmtId="169" fontId="29" fillId="6" borderId="29" xfId="4" applyNumberFormat="1" applyFont="1" applyFill="1" applyBorder="1" applyAlignment="1">
      <alignment horizontal="right" vertical="center" wrapText="1"/>
    </xf>
    <xf numFmtId="169" fontId="28" fillId="6" borderId="29" xfId="4" applyNumberFormat="1" applyFont="1" applyFill="1" applyBorder="1" applyAlignment="1">
      <alignment horizontal="right" vertical="center" wrapText="1"/>
    </xf>
    <xf numFmtId="4" fontId="31" fillId="2" borderId="22" xfId="4" applyNumberFormat="1" applyFont="1" applyFill="1" applyBorder="1" applyAlignment="1" applyProtection="1">
      <alignment horizontal="right" vertical="center" wrapText="1"/>
      <protection locked="0"/>
    </xf>
    <xf numFmtId="170" fontId="28" fillId="0" borderId="29" xfId="4" applyNumberFormat="1" applyFont="1" applyBorder="1" applyAlignment="1">
      <alignment horizontal="right" vertical="center" wrapText="1"/>
    </xf>
    <xf numFmtId="176" fontId="1" fillId="0" borderId="0" xfId="4" applyNumberFormat="1"/>
    <xf numFmtId="169" fontId="1" fillId="0" borderId="0" xfId="4" applyNumberFormat="1"/>
    <xf numFmtId="174" fontId="29" fillId="0" borderId="29" xfId="4" applyNumberFormat="1" applyFont="1" applyBorder="1" applyAlignment="1">
      <alignment horizontal="right" vertical="center" wrapText="1"/>
    </xf>
    <xf numFmtId="0" fontId="32" fillId="6" borderId="27" xfId="4" applyFont="1" applyFill="1" applyBorder="1" applyAlignment="1">
      <alignment horizontal="center" vertical="center"/>
    </xf>
    <xf numFmtId="4" fontId="29" fillId="14" borderId="29" xfId="4" applyNumberFormat="1" applyFont="1" applyFill="1" applyBorder="1" applyAlignment="1">
      <alignment horizontal="right" vertical="center" wrapText="1"/>
    </xf>
    <xf numFmtId="170" fontId="28" fillId="14" borderId="29" xfId="4" applyNumberFormat="1" applyFont="1" applyFill="1" applyBorder="1" applyAlignment="1">
      <alignment horizontal="right" vertical="center" wrapText="1"/>
    </xf>
    <xf numFmtId="10" fontId="28" fillId="14" borderId="9" xfId="4" applyNumberFormat="1" applyFont="1" applyFill="1" applyBorder="1" applyAlignment="1">
      <alignment horizontal="right" vertical="center" wrapText="1"/>
    </xf>
    <xf numFmtId="3" fontId="29" fillId="0" borderId="29" xfId="4" applyNumberFormat="1" applyFont="1" applyBorder="1" applyAlignment="1">
      <alignment horizontal="right" vertical="center" wrapText="1"/>
    </xf>
    <xf numFmtId="3" fontId="29" fillId="14" borderId="29" xfId="4" applyNumberFormat="1" applyFont="1" applyFill="1" applyBorder="1" applyAlignment="1">
      <alignment horizontal="right" vertical="center" wrapText="1"/>
    </xf>
    <xf numFmtId="4" fontId="29" fillId="0" borderId="27" xfId="4" applyNumberFormat="1" applyFont="1" applyBorder="1" applyAlignment="1" applyProtection="1">
      <alignment horizontal="right" vertical="center" wrapText="1"/>
      <protection locked="0"/>
    </xf>
    <xf numFmtId="170" fontId="28" fillId="0" borderId="13" xfId="4" applyNumberFormat="1" applyFont="1" applyBorder="1" applyAlignment="1">
      <alignment horizontal="right" vertical="center" wrapText="1"/>
    </xf>
    <xf numFmtId="4" fontId="29" fillId="0" borderId="13" xfId="4" applyNumberFormat="1" applyFont="1" applyBorder="1" applyAlignment="1" applyProtection="1">
      <alignment horizontal="right" vertical="center" wrapText="1"/>
      <protection locked="0"/>
    </xf>
    <xf numFmtId="0" fontId="33" fillId="0" borderId="29" xfId="4" applyFont="1" applyBorder="1" applyAlignment="1">
      <alignment horizontal="left" vertical="center" indent="2"/>
    </xf>
    <xf numFmtId="170" fontId="28" fillId="0" borderId="5" xfId="4" applyNumberFormat="1" applyFont="1" applyBorder="1" applyAlignment="1">
      <alignment horizontal="right" vertical="center" wrapText="1"/>
    </xf>
    <xf numFmtId="175" fontId="29" fillId="0" borderId="5" xfId="4" applyNumberFormat="1" applyFont="1" applyBorder="1" applyAlignment="1">
      <alignment horizontal="right" vertical="center" wrapText="1"/>
    </xf>
    <xf numFmtId="0" fontId="28" fillId="0" borderId="29" xfId="4" applyFont="1" applyBorder="1" applyAlignment="1">
      <alignment horizontal="left" vertical="center" wrapText="1" indent="2"/>
    </xf>
    <xf numFmtId="0" fontId="28" fillId="0" borderId="29" xfId="4" applyFont="1" applyBorder="1" applyAlignment="1">
      <alignment horizontal="left" vertical="center" indent="2"/>
    </xf>
    <xf numFmtId="175" fontId="29" fillId="0" borderId="5" xfId="4" applyNumberFormat="1" applyFont="1" applyBorder="1" applyAlignment="1" applyProtection="1">
      <alignment horizontal="right" vertical="center" wrapText="1"/>
      <protection locked="0"/>
    </xf>
    <xf numFmtId="0" fontId="28" fillId="0" borderId="29" xfId="4" applyFont="1" applyBorder="1" applyAlignment="1">
      <alignment horizontal="left" vertical="center" indent="5"/>
    </xf>
    <xf numFmtId="169" fontId="29" fillId="0" borderId="27" xfId="4" applyNumberFormat="1" applyFont="1" applyBorder="1" applyAlignment="1" applyProtection="1">
      <alignment horizontal="right" vertical="center" wrapText="1"/>
      <protection locked="0"/>
    </xf>
    <xf numFmtId="169" fontId="29" fillId="0" borderId="1" xfId="4" applyNumberFormat="1" applyFont="1" applyBorder="1" applyAlignment="1" applyProtection="1">
      <alignment horizontal="right" vertical="center" wrapText="1"/>
      <protection locked="0"/>
    </xf>
    <xf numFmtId="175" fontId="29" fillId="0" borderId="1" xfId="4" applyNumberFormat="1" applyFont="1" applyBorder="1" applyAlignment="1" applyProtection="1">
      <alignment horizontal="right" vertical="center" wrapText="1"/>
      <protection locked="0"/>
    </xf>
    <xf numFmtId="174" fontId="29" fillId="0" borderId="27" xfId="4" applyNumberFormat="1" applyFont="1" applyBorder="1" applyAlignment="1" applyProtection="1">
      <alignment horizontal="right" vertical="center" wrapText="1"/>
      <protection locked="0"/>
    </xf>
    <xf numFmtId="0" fontId="28" fillId="0" borderId="29" xfId="4" applyFont="1" applyBorder="1" applyAlignment="1">
      <alignment horizontal="left" vertical="center" indent="4"/>
    </xf>
    <xf numFmtId="0" fontId="24" fillId="0" borderId="29" xfId="4" applyFont="1" applyBorder="1" applyAlignment="1">
      <alignment vertical="center"/>
    </xf>
    <xf numFmtId="169" fontId="29" fillId="0" borderId="5" xfId="4" applyNumberFormat="1" applyFont="1" applyBorder="1" applyAlignment="1" applyProtection="1">
      <alignment horizontal="right" vertical="center" wrapText="1"/>
      <protection locked="0"/>
    </xf>
    <xf numFmtId="169" fontId="29" fillId="14" borderId="27" xfId="4" applyNumberFormat="1" applyFont="1" applyFill="1" applyBorder="1" applyAlignment="1" applyProtection="1">
      <alignment horizontal="right" vertical="center" wrapText="1"/>
      <protection locked="0"/>
    </xf>
    <xf numFmtId="169" fontId="29" fillId="14" borderId="5" xfId="4" applyNumberFormat="1" applyFont="1" applyFill="1" applyBorder="1" applyAlignment="1" applyProtection="1">
      <alignment horizontal="right" vertical="center" wrapText="1"/>
      <protection locked="0"/>
    </xf>
    <xf numFmtId="0" fontId="33" fillId="0" borderId="29" xfId="4" applyFont="1" applyBorder="1" applyAlignment="1">
      <alignment vertical="center"/>
    </xf>
    <xf numFmtId="169" fontId="29" fillId="0" borderId="7" xfId="4" applyNumberFormat="1" applyFont="1" applyBorder="1" applyAlignment="1" applyProtection="1">
      <alignment horizontal="right" vertical="center" wrapText="1"/>
      <protection locked="0"/>
    </xf>
    <xf numFmtId="0" fontId="35" fillId="0" borderId="2" xfId="4" applyFont="1" applyBorder="1" applyAlignment="1">
      <alignment horizontal="left" vertical="top"/>
    </xf>
    <xf numFmtId="0" fontId="35" fillId="0" borderId="21" xfId="4" applyFont="1" applyBorder="1" applyAlignment="1">
      <alignment horizontal="left" vertical="top"/>
    </xf>
    <xf numFmtId="0" fontId="36" fillId="0" borderId="49" xfId="4" applyFont="1" applyBorder="1" applyAlignment="1">
      <alignment horizontal="center"/>
    </xf>
    <xf numFmtId="0" fontId="35" fillId="0" borderId="0" xfId="4" applyFont="1" applyAlignment="1">
      <alignment horizontal="left" vertical="top"/>
    </xf>
    <xf numFmtId="0" fontId="36" fillId="0" borderId="50" xfId="4" applyFont="1" applyBorder="1" applyAlignment="1">
      <alignment horizontal="center"/>
    </xf>
    <xf numFmtId="0" fontId="36" fillId="0" borderId="51" xfId="4" applyFont="1" applyBorder="1" applyAlignment="1">
      <alignment horizontal="center"/>
    </xf>
    <xf numFmtId="0" fontId="35" fillId="0" borderId="1" xfId="4" applyFont="1" applyBorder="1" applyAlignment="1">
      <alignment horizontal="left" vertical="top"/>
    </xf>
    <xf numFmtId="0" fontId="1" fillId="0" borderId="52" xfId="4" applyBorder="1" applyAlignment="1" applyProtection="1">
      <alignment horizontal="center"/>
      <protection locked="0"/>
    </xf>
    <xf numFmtId="0" fontId="1" fillId="0" borderId="53" xfId="4" applyBorder="1" applyAlignment="1" applyProtection="1">
      <alignment horizontal="center"/>
      <protection locked="0"/>
    </xf>
    <xf numFmtId="4" fontId="0" fillId="0" borderId="0" xfId="0" applyNumberFormat="1"/>
    <xf numFmtId="43" fontId="5" fillId="0" borderId="0" xfId="0" applyNumberFormat="1" applyFont="1"/>
    <xf numFmtId="0" fontId="0" fillId="0" borderId="0" xfId="0" applyAlignment="1">
      <alignment horizontal="center"/>
    </xf>
    <xf numFmtId="4" fontId="3" fillId="0" borderId="0" xfId="0" applyNumberFormat="1" applyFont="1"/>
    <xf numFmtId="0" fontId="1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3" fillId="6" borderId="0" xfId="0" applyFont="1" applyFill="1"/>
    <xf numFmtId="4" fontId="0" fillId="6" borderId="0" xfId="0" applyNumberFormat="1" applyFill="1"/>
    <xf numFmtId="4" fontId="3" fillId="6" borderId="0" xfId="0" applyNumberFormat="1" applyFont="1" applyFill="1"/>
    <xf numFmtId="168" fontId="11" fillId="6" borderId="0" xfId="0" applyNumberFormat="1" applyFont="1" applyFill="1"/>
    <xf numFmtId="0" fontId="37" fillId="0" borderId="0" xfId="3" applyFont="1"/>
    <xf numFmtId="0" fontId="38" fillId="0" borderId="0" xfId="3" applyFont="1"/>
    <xf numFmtId="0" fontId="37" fillId="0" borderId="30" xfId="3" applyFont="1" applyBorder="1" applyAlignment="1">
      <alignment horizontal="center" vertical="center" wrapText="1"/>
    </xf>
    <xf numFmtId="0" fontId="37" fillId="0" borderId="31" xfId="3" applyFont="1" applyBorder="1" applyAlignment="1">
      <alignment horizontal="center" vertical="center" wrapText="1"/>
    </xf>
    <xf numFmtId="0" fontId="37" fillId="0" borderId="9" xfId="3" applyFont="1" applyBorder="1" applyAlignment="1">
      <alignment horizontal="center" vertical="center" wrapText="1"/>
    </xf>
    <xf numFmtId="0" fontId="37" fillId="0" borderId="32" xfId="3" applyFont="1" applyBorder="1" applyAlignment="1">
      <alignment horizontal="center" vertical="center" wrapText="1"/>
    </xf>
    <xf numFmtId="0" fontId="37" fillId="0" borderId="33" xfId="3" applyFont="1" applyBorder="1" applyAlignment="1">
      <alignment horizontal="center" vertical="center" wrapText="1"/>
    </xf>
    <xf numFmtId="49" fontId="37" fillId="0" borderId="34" xfId="3" applyNumberFormat="1" applyFont="1" applyBorder="1" applyAlignment="1">
      <alignment horizontal="center" vertical="center" wrapText="1"/>
    </xf>
    <xf numFmtId="0" fontId="37" fillId="0" borderId="14" xfId="3" applyFont="1" applyBorder="1" applyAlignment="1">
      <alignment horizontal="left" vertical="center"/>
    </xf>
    <xf numFmtId="4" fontId="38" fillId="0" borderId="32" xfId="3" applyNumberFormat="1" applyFont="1" applyBorder="1" applyAlignment="1">
      <alignment horizontal="right" vertical="center" wrapText="1"/>
    </xf>
    <xf numFmtId="4" fontId="38" fillId="0" borderId="33" xfId="3" applyNumberFormat="1" applyFont="1" applyBorder="1" applyAlignment="1">
      <alignment horizontal="right" vertical="center" wrapText="1"/>
    </xf>
    <xf numFmtId="4" fontId="38" fillId="0" borderId="35" xfId="3" applyNumberFormat="1" applyFont="1" applyBorder="1"/>
    <xf numFmtId="0" fontId="38" fillId="0" borderId="12" xfId="3" applyFont="1" applyBorder="1"/>
    <xf numFmtId="4" fontId="38" fillId="0" borderId="36" xfId="3" applyNumberFormat="1" applyFont="1" applyBorder="1"/>
    <xf numFmtId="4" fontId="38" fillId="0" borderId="20" xfId="3" applyNumberFormat="1" applyFont="1" applyBorder="1"/>
    <xf numFmtId="0" fontId="38" fillId="0" borderId="14" xfId="3" applyFont="1" applyBorder="1"/>
    <xf numFmtId="4" fontId="38" fillId="0" borderId="32" xfId="3" applyNumberFormat="1" applyFont="1" applyBorder="1"/>
    <xf numFmtId="4" fontId="38" fillId="0" borderId="33" xfId="3" applyNumberFormat="1" applyFont="1" applyBorder="1"/>
    <xf numFmtId="3" fontId="38" fillId="0" borderId="36" xfId="3" applyNumberFormat="1" applyFont="1" applyBorder="1"/>
    <xf numFmtId="3" fontId="38" fillId="0" borderId="20" xfId="3" applyNumberFormat="1" applyFont="1" applyBorder="1"/>
    <xf numFmtId="0" fontId="37" fillId="0" borderId="12" xfId="3" applyFont="1" applyBorder="1"/>
    <xf numFmtId="0" fontId="38" fillId="0" borderId="35" xfId="3" applyFont="1" applyBorder="1"/>
    <xf numFmtId="0" fontId="38" fillId="0" borderId="37" xfId="3" applyFont="1" applyBorder="1"/>
    <xf numFmtId="4" fontId="38" fillId="0" borderId="38" xfId="3" applyNumberFormat="1" applyFont="1" applyBorder="1"/>
    <xf numFmtId="4" fontId="38" fillId="0" borderId="39" xfId="3" applyNumberFormat="1" applyFont="1" applyBorder="1"/>
    <xf numFmtId="0" fontId="38" fillId="0" borderId="40" xfId="3" applyFont="1" applyBorder="1"/>
    <xf numFmtId="0" fontId="38" fillId="0" borderId="11" xfId="3" applyFont="1" applyBorder="1"/>
    <xf numFmtId="4" fontId="38" fillId="0" borderId="41" xfId="3" applyNumberFormat="1" applyFont="1" applyBorder="1"/>
    <xf numFmtId="4" fontId="38" fillId="0" borderId="42" xfId="3" applyNumberFormat="1" applyFont="1" applyBorder="1"/>
    <xf numFmtId="0" fontId="38" fillId="0" borderId="43" xfId="3" applyFont="1" applyBorder="1"/>
    <xf numFmtId="4" fontId="38" fillId="0" borderId="44" xfId="3" applyNumberFormat="1" applyFont="1" applyBorder="1"/>
    <xf numFmtId="2" fontId="38" fillId="0" borderId="45" xfId="3" applyNumberFormat="1" applyFont="1" applyBorder="1"/>
    <xf numFmtId="4" fontId="38" fillId="15" borderId="33" xfId="3" applyNumberFormat="1" applyFont="1" applyFill="1" applyBorder="1" applyAlignment="1">
      <alignment horizontal="right" vertical="center" wrapText="1"/>
    </xf>
    <xf numFmtId="168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8" fontId="0" fillId="0" borderId="17" xfId="0" applyNumberFormat="1" applyBorder="1" applyAlignment="1">
      <alignment horizontal="center"/>
    </xf>
    <xf numFmtId="0" fontId="39" fillId="0" borderId="9" xfId="0" applyFont="1" applyBorder="1" applyAlignment="1">
      <alignment horizontal="center"/>
    </xf>
    <xf numFmtId="168" fontId="0" fillId="0" borderId="22" xfId="0" applyNumberFormat="1" applyBorder="1" applyAlignment="1">
      <alignment horizontal="center"/>
    </xf>
    <xf numFmtId="168" fontId="40" fillId="0" borderId="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0" xfId="0" applyFont="1"/>
    <xf numFmtId="0" fontId="7" fillId="0" borderId="3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168" fontId="11" fillId="0" borderId="16" xfId="0" applyNumberFormat="1" applyFont="1" applyBorder="1" applyAlignment="1">
      <alignment horizontal="center"/>
    </xf>
    <xf numFmtId="168" fontId="39" fillId="0" borderId="16" xfId="0" applyNumberFormat="1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0" fillId="0" borderId="20" xfId="0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8" fontId="0" fillId="0" borderId="20" xfId="0" applyNumberFormat="1" applyBorder="1" applyAlignment="1">
      <alignment horizontal="center"/>
    </xf>
    <xf numFmtId="168" fontId="0" fillId="0" borderId="19" xfId="0" applyNumberFormat="1" applyBorder="1" applyAlignment="1">
      <alignment horizontal="center"/>
    </xf>
    <xf numFmtId="0" fontId="40" fillId="6" borderId="16" xfId="0" applyFont="1" applyFill="1" applyBorder="1" applyAlignment="1">
      <alignment horizontal="center"/>
    </xf>
    <xf numFmtId="168" fontId="7" fillId="6" borderId="16" xfId="0" applyNumberFormat="1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16" borderId="43" xfId="0" applyFont="1" applyFill="1" applyBorder="1" applyAlignment="1">
      <alignment horizontal="center" vertical="center"/>
    </xf>
    <xf numFmtId="2" fontId="0" fillId="16" borderId="48" xfId="0" applyNumberFormat="1" applyFill="1" applyBorder="1" applyAlignment="1">
      <alignment horizontal="center" vertical="center"/>
    </xf>
    <xf numFmtId="0" fontId="37" fillId="0" borderId="2" xfId="3" applyFont="1" applyBorder="1" applyAlignment="1">
      <alignment horizontal="center" vertical="center"/>
    </xf>
    <xf numFmtId="0" fontId="37" fillId="0" borderId="29" xfId="3" applyFont="1" applyBorder="1" applyAlignment="1">
      <alignment horizontal="center" vertical="center"/>
    </xf>
    <xf numFmtId="0" fontId="1" fillId="0" borderId="15" xfId="3" applyFont="1" applyBorder="1" applyAlignment="1">
      <alignment horizontal="center" wrapText="1"/>
    </xf>
    <xf numFmtId="4" fontId="1" fillId="0" borderId="0" xfId="3" applyNumberFormat="1" applyFont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left"/>
    </xf>
    <xf numFmtId="0" fontId="0" fillId="0" borderId="0" xfId="0" applyAlignment="1">
      <alignment horizontal="center"/>
    </xf>
    <xf numFmtId="0" fontId="40" fillId="6" borderId="16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5" fillId="0" borderId="3" xfId="4" applyFont="1" applyBorder="1" applyAlignment="1">
      <alignment horizontal="left" vertical="top"/>
    </xf>
    <xf numFmtId="0" fontId="35" fillId="0" borderId="21" xfId="4" applyFont="1" applyBorder="1" applyAlignment="1">
      <alignment horizontal="left" vertical="top"/>
    </xf>
    <xf numFmtId="0" fontId="35" fillId="0" borderId="15" xfId="4" applyFont="1" applyBorder="1" applyAlignment="1">
      <alignment horizontal="left" vertical="top"/>
    </xf>
    <xf numFmtId="0" fontId="35" fillId="0" borderId="0" xfId="4" applyFont="1" applyAlignment="1">
      <alignment horizontal="left" vertical="top"/>
    </xf>
    <xf numFmtId="0" fontId="35" fillId="0" borderId="13" xfId="4" applyFont="1" applyBorder="1" applyAlignment="1">
      <alignment horizontal="left" vertical="top"/>
    </xf>
    <xf numFmtId="0" fontId="35" fillId="0" borderId="1" xfId="4" applyFont="1" applyBorder="1" applyAlignment="1">
      <alignment horizontal="left" vertical="top"/>
    </xf>
    <xf numFmtId="0" fontId="35" fillId="0" borderId="4" xfId="4" applyFont="1" applyBorder="1" applyAlignment="1">
      <alignment horizontal="left" vertical="top"/>
    </xf>
    <xf numFmtId="0" fontId="35" fillId="0" borderId="24" xfId="4" applyFont="1" applyBorder="1" applyAlignment="1">
      <alignment horizontal="left" vertical="top"/>
    </xf>
    <xf numFmtId="0" fontId="35" fillId="0" borderId="27" xfId="4" applyFont="1" applyBorder="1" applyAlignment="1">
      <alignment horizontal="left" vertical="top"/>
    </xf>
    <xf numFmtId="0" fontId="35" fillId="0" borderId="8" xfId="4" applyFont="1" applyBorder="1" applyAlignment="1" applyProtection="1">
      <alignment horizontal="left" vertical="top"/>
      <protection locked="0"/>
    </xf>
    <xf numFmtId="0" fontId="35" fillId="0" borderId="29" xfId="4" applyFont="1" applyBorder="1" applyAlignment="1" applyProtection="1">
      <alignment horizontal="left" vertical="top"/>
      <protection locked="0"/>
    </xf>
    <xf numFmtId="0" fontId="25" fillId="13" borderId="0" xfId="4" applyFont="1" applyFill="1" applyAlignment="1">
      <alignment horizontal="center"/>
    </xf>
    <xf numFmtId="0" fontId="24" fillId="6" borderId="2" xfId="4" applyFont="1" applyFill="1" applyBorder="1" applyAlignment="1">
      <alignment horizontal="center" vertical="center"/>
    </xf>
    <xf numFmtId="0" fontId="24" fillId="6" borderId="8" xfId="4" applyFont="1" applyFill="1" applyBorder="1" applyAlignment="1">
      <alignment horizontal="center" vertical="center"/>
    </xf>
    <xf numFmtId="0" fontId="24" fillId="6" borderId="29" xfId="4" applyFont="1" applyFill="1" applyBorder="1" applyAlignment="1">
      <alignment horizontal="center" vertical="center"/>
    </xf>
    <xf numFmtId="0" fontId="24" fillId="6" borderId="2" xfId="4" applyFont="1" applyFill="1" applyBorder="1" applyAlignment="1">
      <alignment horizontal="center" vertical="center" wrapText="1"/>
    </xf>
    <xf numFmtId="0" fontId="24" fillId="6" borderId="8" xfId="4" applyFont="1" applyFill="1" applyBorder="1" applyAlignment="1">
      <alignment horizontal="center" vertical="center" wrapText="1"/>
    </xf>
    <xf numFmtId="0" fontId="24" fillId="6" borderId="29" xfId="4" applyFont="1" applyFill="1" applyBorder="1" applyAlignment="1">
      <alignment horizontal="center" vertical="center" wrapText="1"/>
    </xf>
    <xf numFmtId="0" fontId="24" fillId="6" borderId="3" xfId="4" applyFont="1" applyFill="1" applyBorder="1" applyAlignment="1">
      <alignment horizontal="center" vertical="center" wrapText="1"/>
    </xf>
    <xf numFmtId="0" fontId="24" fillId="6" borderId="21" xfId="4" applyFont="1" applyFill="1" applyBorder="1" applyAlignment="1">
      <alignment horizontal="center" vertical="center" wrapText="1"/>
    </xf>
    <xf numFmtId="0" fontId="24" fillId="6" borderId="4" xfId="4" applyFont="1" applyFill="1" applyBorder="1" applyAlignment="1">
      <alignment horizontal="center" vertical="center" wrapText="1"/>
    </xf>
    <xf numFmtId="0" fontId="24" fillId="6" borderId="13" xfId="4" applyFont="1" applyFill="1" applyBorder="1" applyAlignment="1">
      <alignment horizontal="center" vertical="center" wrapText="1"/>
    </xf>
    <xf numFmtId="0" fontId="24" fillId="6" borderId="1" xfId="4" applyFont="1" applyFill="1" applyBorder="1" applyAlignment="1">
      <alignment horizontal="center" vertical="center" wrapText="1"/>
    </xf>
    <xf numFmtId="0" fontId="24" fillId="6" borderId="27" xfId="4" applyFont="1" applyFill="1" applyBorder="1" applyAlignment="1">
      <alignment horizontal="center" vertical="center" wrapText="1"/>
    </xf>
    <xf numFmtId="0" fontId="24" fillId="6" borderId="15" xfId="4" applyFont="1" applyFill="1" applyBorder="1" applyAlignment="1">
      <alignment horizontal="center" vertical="center" wrapText="1"/>
    </xf>
    <xf numFmtId="0" fontId="24" fillId="6" borderId="0" xfId="4" applyFont="1" applyFill="1" applyAlignment="1">
      <alignment horizontal="center" vertical="center" wrapText="1"/>
    </xf>
    <xf numFmtId="0" fontId="24" fillId="6" borderId="24" xfId="4" applyFont="1" applyFill="1" applyBorder="1" applyAlignment="1">
      <alignment horizontal="center" vertical="center" wrapText="1"/>
    </xf>
    <xf numFmtId="0" fontId="12" fillId="5" borderId="16" xfId="2" applyFont="1" applyFill="1" applyBorder="1" applyAlignment="1">
      <alignment horizontal="center" vertical="center" wrapText="1"/>
    </xf>
    <xf numFmtId="0" fontId="12" fillId="5" borderId="17" xfId="2" applyFont="1" applyFill="1" applyBorder="1" applyAlignment="1">
      <alignment horizontal="center" vertical="center"/>
    </xf>
    <xf numFmtId="0" fontId="12" fillId="5" borderId="22" xfId="2" applyFont="1" applyFill="1" applyBorder="1" applyAlignment="1">
      <alignment horizontal="center" vertical="center"/>
    </xf>
    <xf numFmtId="49" fontId="12" fillId="5" borderId="17" xfId="2" applyNumberFormat="1" applyFont="1" applyFill="1" applyBorder="1" applyAlignment="1">
      <alignment horizontal="center" vertical="center" wrapText="1"/>
    </xf>
    <xf numFmtId="49" fontId="12" fillId="5" borderId="22" xfId="2" applyNumberFormat="1" applyFont="1" applyFill="1" applyBorder="1" applyAlignment="1">
      <alignment horizontal="center" vertical="center" wrapText="1"/>
    </xf>
    <xf numFmtId="0" fontId="12" fillId="5" borderId="18" xfId="2" applyFont="1" applyFill="1" applyBorder="1" applyAlignment="1">
      <alignment horizontal="center" vertical="center" wrapText="1"/>
    </xf>
    <xf numFmtId="0" fontId="12" fillId="5" borderId="19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18" xfId="2" applyFont="1" applyFill="1" applyBorder="1" applyAlignment="1">
      <alignment horizontal="center" vertical="center" wrapText="1"/>
    </xf>
    <xf numFmtId="0" fontId="14" fillId="6" borderId="2" xfId="2" applyFont="1" applyFill="1" applyBorder="1" applyAlignment="1">
      <alignment horizontal="center" vertical="center"/>
    </xf>
    <xf numFmtId="0" fontId="14" fillId="6" borderId="23" xfId="2" applyFont="1" applyFill="1" applyBorder="1" applyAlignment="1">
      <alignment horizontal="center" vertical="center"/>
    </xf>
    <xf numFmtId="0" fontId="14" fillId="6" borderId="3" xfId="2" applyFont="1" applyFill="1" applyBorder="1" applyAlignment="1">
      <alignment horizontal="center" vertical="center"/>
    </xf>
    <xf numFmtId="0" fontId="14" fillId="6" borderId="21" xfId="2" applyFont="1" applyFill="1" applyBorder="1" applyAlignment="1">
      <alignment horizontal="center" vertical="center"/>
    </xf>
    <xf numFmtId="0" fontId="14" fillId="6" borderId="2" xfId="2" applyFont="1" applyFill="1" applyBorder="1" applyAlignment="1">
      <alignment horizontal="center" vertical="center" wrapText="1"/>
    </xf>
    <xf numFmtId="0" fontId="14" fillId="6" borderId="8" xfId="2" applyFont="1" applyFill="1" applyBorder="1" applyAlignment="1">
      <alignment horizontal="center" vertical="center" wrapText="1"/>
    </xf>
    <xf numFmtId="0" fontId="14" fillId="6" borderId="13" xfId="2" applyFont="1" applyFill="1" applyBorder="1" applyAlignment="1">
      <alignment horizontal="center" vertical="center"/>
    </xf>
    <xf numFmtId="0" fontId="14" fillId="6" borderId="1" xfId="2" applyFont="1" applyFill="1" applyBorder="1" applyAlignment="1">
      <alignment horizontal="center" vertical="center"/>
    </xf>
    <xf numFmtId="0" fontId="14" fillId="6" borderId="25" xfId="2" applyFont="1" applyFill="1" applyBorder="1" applyAlignment="1">
      <alignment horizontal="center" vertical="center"/>
    </xf>
    <xf numFmtId="0" fontId="16" fillId="6" borderId="2" xfId="2" applyFont="1" applyFill="1" applyBorder="1" applyAlignment="1">
      <alignment horizontal="center" vertical="center" wrapText="1"/>
    </xf>
    <xf numFmtId="0" fontId="16" fillId="6" borderId="23" xfId="2" applyFont="1" applyFill="1" applyBorder="1" applyAlignment="1">
      <alignment horizontal="center" vertical="center" wrapText="1"/>
    </xf>
    <xf numFmtId="0" fontId="16" fillId="6" borderId="5" xfId="2" applyFont="1" applyFill="1" applyBorder="1" applyAlignment="1">
      <alignment horizontal="center" vertical="center" wrapText="1"/>
    </xf>
    <xf numFmtId="0" fontId="16" fillId="6" borderId="26" xfId="2" applyFont="1" applyFill="1" applyBorder="1" applyAlignment="1">
      <alignment horizontal="center" vertical="center" wrapText="1"/>
    </xf>
    <xf numFmtId="0" fontId="16" fillId="6" borderId="4" xfId="2" applyFont="1" applyFill="1" applyBorder="1" applyAlignment="1">
      <alignment horizontal="center" vertical="center" wrapText="1"/>
    </xf>
    <xf numFmtId="0" fontId="16" fillId="6" borderId="28" xfId="2" applyFont="1" applyFill="1" applyBorder="1" applyAlignment="1">
      <alignment horizontal="center" vertical="center" wrapText="1"/>
    </xf>
    <xf numFmtId="0" fontId="16" fillId="6" borderId="7" xfId="2" applyFont="1" applyFill="1" applyBorder="1" applyAlignment="1">
      <alignment horizontal="center" vertical="center" wrapText="1"/>
    </xf>
    <xf numFmtId="0" fontId="19" fillId="0" borderId="5" xfId="2" applyFont="1" applyBorder="1" applyAlignment="1">
      <alignment horizontal="right" vertical="center"/>
    </xf>
    <xf numFmtId="0" fontId="19" fillId="0" borderId="6" xfId="2" applyFont="1" applyBorder="1" applyAlignment="1">
      <alignment horizontal="right" vertical="center"/>
    </xf>
    <xf numFmtId="0" fontId="19" fillId="0" borderId="7" xfId="2" applyFont="1" applyBorder="1" applyAlignment="1">
      <alignment horizontal="right" vertical="center"/>
    </xf>
    <xf numFmtId="168" fontId="0" fillId="0" borderId="16" xfId="0" applyNumberFormat="1" applyBorder="1" applyAlignment="1">
      <alignment horizontal="right"/>
    </xf>
    <xf numFmtId="0" fontId="7" fillId="6" borderId="16" xfId="0" applyFont="1" applyFill="1" applyBorder="1" applyAlignment="1">
      <alignment horizontal="left"/>
    </xf>
    <xf numFmtId="0" fontId="0" fillId="6" borderId="16" xfId="0" applyFill="1" applyBorder="1" applyAlignment="1">
      <alignment horizontal="center"/>
    </xf>
    <xf numFmtId="0" fontId="7" fillId="17" borderId="32" xfId="0" applyFont="1" applyFill="1" applyBorder="1" applyAlignment="1">
      <alignment horizontal="center" vertical="center"/>
    </xf>
    <xf numFmtId="2" fontId="7" fillId="17" borderId="54" xfId="0" applyNumberFormat="1" applyFont="1" applyFill="1" applyBorder="1" applyAlignment="1">
      <alignment horizontal="center" vertical="center"/>
    </xf>
    <xf numFmtId="0" fontId="0" fillId="16" borderId="19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168" fontId="11" fillId="0" borderId="20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68" fontId="7" fillId="6" borderId="9" xfId="0" applyNumberFormat="1" applyFont="1" applyFill="1" applyBorder="1" applyAlignment="1">
      <alignment horizontal="right"/>
    </xf>
    <xf numFmtId="0" fontId="0" fillId="6" borderId="20" xfId="0" applyFill="1" applyBorder="1" applyAlignment="1">
      <alignment horizontal="center"/>
    </xf>
    <xf numFmtId="168" fontId="0" fillId="0" borderId="22" xfId="0" applyNumberFormat="1" applyBorder="1" applyAlignment="1">
      <alignment horizontal="right"/>
    </xf>
    <xf numFmtId="0" fontId="7" fillId="6" borderId="9" xfId="0" applyFont="1" applyFill="1" applyBorder="1" applyAlignment="1">
      <alignment horizontal="right"/>
    </xf>
    <xf numFmtId="0" fontId="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7" fillId="17" borderId="55" xfId="0" applyFont="1" applyFill="1" applyBorder="1" applyAlignment="1">
      <alignment horizontal="center"/>
    </xf>
    <xf numFmtId="0" fontId="7" fillId="17" borderId="22" xfId="0" applyFont="1" applyFill="1" applyBorder="1" applyAlignment="1">
      <alignment horizontal="center"/>
    </xf>
    <xf numFmtId="0" fontId="7" fillId="16" borderId="11" xfId="0" applyFont="1" applyFill="1" applyBorder="1" applyAlignment="1">
      <alignment horizontal="center" vertical="center" wrapText="1"/>
    </xf>
    <xf numFmtId="0" fontId="7" fillId="16" borderId="41" xfId="0" applyFont="1" applyFill="1" applyBorder="1" applyAlignment="1">
      <alignment horizontal="center" vertical="center" wrapText="1"/>
    </xf>
    <xf numFmtId="0" fontId="7" fillId="16" borderId="56" xfId="0" applyFont="1" applyFill="1" applyBorder="1" applyAlignment="1">
      <alignment horizontal="center" vertical="center"/>
    </xf>
    <xf numFmtId="0" fontId="7" fillId="16" borderId="41" xfId="0" applyFont="1" applyFill="1" applyBorder="1" applyAlignment="1">
      <alignment horizontal="center" vertical="center"/>
    </xf>
    <xf numFmtId="0" fontId="7" fillId="16" borderId="46" xfId="0" applyFont="1" applyFill="1" applyBorder="1" applyAlignment="1">
      <alignment horizontal="center" vertical="center"/>
    </xf>
    <xf numFmtId="0" fontId="7" fillId="16" borderId="43" xfId="0" applyFont="1" applyFill="1" applyBorder="1" applyAlignment="1">
      <alignment horizontal="center" vertical="center" wrapText="1"/>
    </xf>
    <xf numFmtId="0" fontId="7" fillId="16" borderId="44" xfId="0" applyFont="1" applyFill="1" applyBorder="1" applyAlignment="1">
      <alignment horizontal="center" vertical="center" wrapText="1"/>
    </xf>
    <xf numFmtId="0" fontId="7" fillId="16" borderId="57" xfId="0" applyFont="1" applyFill="1" applyBorder="1" applyAlignment="1">
      <alignment horizontal="center" vertical="center"/>
    </xf>
    <xf numFmtId="0" fontId="7" fillId="16" borderId="44" xfId="0" applyFont="1" applyFill="1" applyBorder="1" applyAlignment="1">
      <alignment horizontal="center" vertical="center"/>
    </xf>
    <xf numFmtId="0" fontId="7" fillId="16" borderId="48" xfId="0" applyFont="1" applyFill="1" applyBorder="1" applyAlignment="1">
      <alignment horizontal="center" vertical="center"/>
    </xf>
  </cellXfs>
  <cellStyles count="5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zasnt\reyna\C.Habana-Jun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os2001/enero/PRE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os2001\enero\PRE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os2001/enero/Bases_mint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os2001\enero\Bases_mint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maria\datos98\Mayo\C.Habana-Junio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AMPISMO%20POPULAR\CAMPISMO%202025\CIERRES%20MENSUALES\06.%20Junio\Sistema%20Estad&#237;stico%20del%20Ministerio%20de%20Turismo%20Junio%202025.xls" TargetMode="External"/><Relationship Id="rId1" Type="http://schemas.openxmlformats.org/officeDocument/2006/relationships/externalLinkPath" Target="file:///G:\CAMPISMO%20POPULAR\CAMPISMO%202025\CIERRES%20MENSUALES\06.%20Junio\Sistema%20Estad&#237;stico%20del%20Ministerio%20de%20Turismo%20Junio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1"/>
      <sheetName val="ENTIDAD"/>
      <sheetName val="Turistas Dias, Precio e Ing. Pq"/>
      <sheetName val="Gastos USD Total"/>
      <sheetName val="Alojamiento"/>
      <sheetName val="Recepcion USD"/>
      <sheetName val="RecepcionMN"/>
      <sheetName val="Sauna y Gimnasio"/>
      <sheetName val="Peluqueria"/>
      <sheetName val="Recreaciones MM"/>
      <sheetName val="Recreaciones"/>
      <sheetName val="Direccion A+B"/>
      <sheetName val="Rest. Especial Sol y Arenas"/>
      <sheetName val="Snack Bar Cactus"/>
      <sheetName val="Lobby Bar Teclado"/>
      <sheetName val="Cafetería Bello Mar"/>
      <sheetName val="Karaoke Amanecer"/>
      <sheetName val="Centro Elaboracion"/>
      <sheetName val="Ranchón Playa"/>
      <sheetName val="Restaurant Los Jardines MN"/>
      <sheetName val="Restaurant Los Jardines USD"/>
      <sheetName val="Cocina Y Comedor"/>
      <sheetName val="Areas Exteriores "/>
      <sheetName val="AREAS EXT MN"/>
      <sheetName val="Abastec Div"/>
      <sheetName val="Dir Gral MN"/>
      <sheetName val="Dirección General"/>
      <sheetName val="Economía MN"/>
      <sheetName val="Economía"/>
      <sheetName val="Rec Humanos MN"/>
      <sheetName val="Recursos Humanos"/>
      <sheetName val="RR PP MN"/>
      <sheetName val="Comercial"/>
      <sheetName val="Seg. Hotel"/>
      <sheetName val="Mtto Div"/>
      <sheetName val="Mtto MN"/>
      <sheetName val="Energéticos"/>
      <sheetName val="Abastec MN"/>
      <sheetName val="Comedor de Empleados USD"/>
      <sheetName val="ESTADO RESULTADO USD"/>
      <sheetName val="ESTADO RESULTADO NAC."/>
      <sheetName val="ESTADO RESULTADO  USD- NAC"/>
      <sheetName val="Resumen Gastos USD"/>
      <sheetName val="PERCAPITA GASTOS"/>
      <sheetName val="percapita comida y bebida"/>
      <sheetName val="MODELO 1 G.CARIBE"/>
      <sheetName val="ANEXO GASTOS"/>
      <sheetName val="Ingresos USD"/>
      <sheetName val="Gastos Totales USD - NAC"/>
      <sheetName val="Ingresos USD - NAC"/>
      <sheetName val="Hoja2"/>
      <sheetName val="Hoja3"/>
      <sheetName val="Hoja4"/>
      <sheetName val="Modelos Mintur"/>
      <sheetName val="Turistas_Dias,_Precio_e_Ing__Pq"/>
      <sheetName val="Gastos_USD_Total"/>
      <sheetName val="Recepcion_USD"/>
      <sheetName val="Sauna_y_Gimnasio"/>
      <sheetName val="Recreaciones_MM"/>
      <sheetName val="Direccion_A+B"/>
      <sheetName val="Rest__Especial_Sol_y_Arenas"/>
      <sheetName val="Snack_Bar_Cactus"/>
      <sheetName val="Lobby_Bar_Teclado"/>
      <sheetName val="Cafetería_Bello_Mar"/>
      <sheetName val="Karaoke_Amanecer"/>
      <sheetName val="Centro_Elaboracion"/>
      <sheetName val="Ranchón_Playa"/>
      <sheetName val="Restaurant_Los_Jardines_MN"/>
      <sheetName val="Restaurant_Los_Jardines_USD"/>
      <sheetName val="Cocina_Y_Comedor"/>
      <sheetName val="Areas_Exteriores_"/>
      <sheetName val="AREAS_EXT_MN"/>
      <sheetName val="Abastec_Div"/>
      <sheetName val="Dir_Gral_MN"/>
      <sheetName val="Dirección_General"/>
      <sheetName val="Economía_MN"/>
      <sheetName val="Rec_Humanos_MN"/>
      <sheetName val="Recursos_Humanos"/>
      <sheetName val="RR_PP_MN"/>
      <sheetName val="Seg__Hotel"/>
      <sheetName val="Mtto_Div"/>
      <sheetName val="Mtto_MN"/>
      <sheetName val="Abastec_MN"/>
      <sheetName val="Comedor_de_Empleados_USD"/>
      <sheetName val="ESTADO_RESULTADO_USD"/>
      <sheetName val="ESTADO_RESULTADO_NAC_"/>
      <sheetName val="ESTADO_RESULTADO__USD-_NAC"/>
      <sheetName val="Resumen_Gastos_USD"/>
      <sheetName val="PERCAPITA_GASTOS"/>
      <sheetName val="percapita_comida_y_bebida"/>
      <sheetName val="MODELO_1_G_CARIBE"/>
      <sheetName val="ANEXO_GASTOS"/>
      <sheetName val="Ingresos_USD"/>
      <sheetName val="Gastos_Totales_USD_-_NAC"/>
      <sheetName val="Ingresos_USD_-_NAC"/>
      <sheetName val="Modelos_Mintur"/>
      <sheetName val="Turistas_Dias,_Precio_e_Ing__P1"/>
      <sheetName val="Gastos_USD_Total1"/>
      <sheetName val="Recepcion_USD1"/>
      <sheetName val="Sauna_y_Gimnasio1"/>
      <sheetName val="Recreaciones_MM1"/>
      <sheetName val="Direccion_A+B1"/>
      <sheetName val="Rest__Especial_Sol_y_Arenas1"/>
      <sheetName val="Snack_Bar_Cactus1"/>
      <sheetName val="Lobby_Bar_Teclado1"/>
      <sheetName val="Cafetería_Bello_Mar1"/>
      <sheetName val="Karaoke_Amanecer1"/>
      <sheetName val="Centro_Elaboracion1"/>
      <sheetName val="Ranchón_Playa1"/>
      <sheetName val="Restaurant_Los_Jardines_MN1"/>
      <sheetName val="Restaurant_Los_Jardines_USD1"/>
      <sheetName val="Cocina_Y_Comedor1"/>
      <sheetName val="Areas_Exteriores_1"/>
      <sheetName val="AREAS_EXT_MN1"/>
      <sheetName val="Abastec_Div1"/>
      <sheetName val="Dir_Gral_MN1"/>
      <sheetName val="Dirección_General1"/>
      <sheetName val="Economía_MN1"/>
      <sheetName val="Rec_Humanos_MN1"/>
      <sheetName val="Recursos_Humanos1"/>
      <sheetName val="RR_PP_MN1"/>
      <sheetName val="Seg__Hotel1"/>
      <sheetName val="Mtto_Div1"/>
      <sheetName val="Mtto_MN1"/>
      <sheetName val="Abastec_MN1"/>
      <sheetName val="Comedor_de_Empleados_USD1"/>
      <sheetName val="ESTADO_RESULTADO_USD1"/>
      <sheetName val="ESTADO_RESULTADO_NAC_1"/>
      <sheetName val="ESTADO_RESULTADO__USD-_NAC1"/>
      <sheetName val="Resumen_Gastos_USD1"/>
      <sheetName val="PERCAPITA_GASTOS1"/>
      <sheetName val="percapita_comida_y_bebida1"/>
      <sheetName val="MODELO_1_G_CARIBE1"/>
      <sheetName val="ANEXO_GASTOS1"/>
      <sheetName val="Ingresos_USD1"/>
      <sheetName val="Gastos_Totales_USD_-_NAC1"/>
      <sheetName val="Ingresos_USD_-_NAC1"/>
      <sheetName val="Modelos_Mintur1"/>
      <sheetName val="Centro E"/>
      <sheetName val="Plantilla"/>
      <sheetName val="Emix 2014"/>
      <sheetName val="MG04 2014"/>
      <sheetName val="ONE MINTUR 2014"/>
      <sheetName val="Estadisticas"/>
      <sheetName val="Ingresos"/>
      <sheetName val="Estancias Pagando 2021"/>
      <sheetName val="Consolidados Ingresos"/>
      <sheetName val="Consolidados Ing dir+ paq"/>
      <sheetName val="Consolidado habitaciones"/>
      <sheetName val=" consolidado hab pagando"/>
      <sheetName val="Consolidado tdias"/>
      <sheetName val="Consolidado tdias Compliment"/>
      <sheetName val="Ingreso Medio TD"/>
      <sheetName val="COMED."/>
      <sheetName val="PERSONAL"/>
      <sheetName val="PAYROLL EXP."/>
      <sheetName val="Gráfico2"/>
      <sheetName val="Gráfico1"/>
      <sheetName val="LAVANDERIA"/>
      <sheetName val="ROOM"/>
      <sheetName val="FRONT DESK"/>
      <sheetName val="FOOD"/>
      <sheetName val="COCINA NO "/>
      <sheetName val="BEVERAGE"/>
      <sheetName val="HIGIENE"/>
      <sheetName val="TELEPHONE"/>
      <sheetName val="OTHER INCOME "/>
      <sheetName val="SPORT "/>
      <sheetName val="Economia"/>
      <sheetName val="DIRECCION"/>
      <sheetName val="Venta"/>
      <sheetName val="ABASTECIMIENTO"/>
      <sheetName val="Securyti"/>
      <sheetName val="Heat,Light &amp; Power"/>
      <sheetName val="Repair &amp; Mainten."/>
      <sheetName val="Jardines"/>
      <sheetName val="Budget Total"/>
      <sheetName val="Salario Extranjero"/>
      <sheetName val="Propuesta"/>
      <sheetName val="Ingresos Plan Masaje"/>
      <sheetName val="PRESUP MINISTRO"/>
      <sheetName val="CAH"/>
      <sheetName val="Modelo1"/>
      <sheetName val="Modelo1B"/>
      <sheetName val="gasto asesor extranjero"/>
      <sheetName val="SALARIO EXT"/>
      <sheetName val="ESTIMADO 2020"/>
      <sheetName val="PLAN MINISTRO 2013 N"/>
    </sheetNames>
    <sheetDataSet>
      <sheetData sheetId="0" refreshError="1">
        <row r="5">
          <cell r="E5" t="b">
            <v>0</v>
          </cell>
          <cell r="R5">
            <v>4689.7</v>
          </cell>
          <cell r="S5">
            <v>1010.8</v>
          </cell>
          <cell r="T5">
            <v>821.3</v>
          </cell>
          <cell r="U5">
            <v>1449.6</v>
          </cell>
          <cell r="V5">
            <v>3765.8</v>
          </cell>
          <cell r="W5">
            <v>757.2</v>
          </cell>
          <cell r="X5">
            <v>698.6</v>
          </cell>
          <cell r="Y5">
            <v>1187.9000000000001</v>
          </cell>
          <cell r="Z5">
            <v>1368.7</v>
          </cell>
          <cell r="AA5">
            <v>564.79999999999995</v>
          </cell>
          <cell r="AB5">
            <v>349.5</v>
          </cell>
          <cell r="AC5">
            <v>230.1</v>
          </cell>
          <cell r="AD5">
            <v>1357.3</v>
          </cell>
          <cell r="AE5">
            <v>553.4</v>
          </cell>
          <cell r="AF5">
            <v>349.5</v>
          </cell>
          <cell r="AG5">
            <v>230.1</v>
          </cell>
        </row>
        <row r="6">
          <cell r="E6" t="b">
            <v>0</v>
          </cell>
          <cell r="R6">
            <v>294.60000000000002</v>
          </cell>
          <cell r="S6">
            <v>252.5</v>
          </cell>
          <cell r="T6">
            <v>42.1</v>
          </cell>
          <cell r="U6">
            <v>0</v>
          </cell>
          <cell r="V6">
            <v>168.3</v>
          </cell>
          <cell r="W6">
            <v>168.3</v>
          </cell>
          <cell r="X6">
            <v>0</v>
          </cell>
          <cell r="Y6">
            <v>0</v>
          </cell>
          <cell r="Z6">
            <v>5133.8</v>
          </cell>
          <cell r="AA6">
            <v>3492.7</v>
          </cell>
          <cell r="AB6">
            <v>1430.7</v>
          </cell>
          <cell r="AC6">
            <v>126.2</v>
          </cell>
          <cell r="AD6">
            <v>4334.3</v>
          </cell>
          <cell r="AE6">
            <v>2903.6</v>
          </cell>
          <cell r="AF6">
            <v>1304.5</v>
          </cell>
          <cell r="AG6">
            <v>84.2</v>
          </cell>
        </row>
        <row r="7">
          <cell r="E7" t="b">
            <v>0</v>
          </cell>
          <cell r="R7">
            <v>7.4</v>
          </cell>
          <cell r="S7">
            <v>4.9000000000000004</v>
          </cell>
          <cell r="T7">
            <v>0.1</v>
          </cell>
          <cell r="U7">
            <v>2.4</v>
          </cell>
          <cell r="V7">
            <v>7.4</v>
          </cell>
          <cell r="W7">
            <v>4.9000000000000004</v>
          </cell>
          <cell r="X7">
            <v>0.1</v>
          </cell>
          <cell r="Y7">
            <v>2.4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E8" t="b">
            <v>0</v>
          </cell>
          <cell r="R8">
            <v>26353.9</v>
          </cell>
          <cell r="S8">
            <v>3151.6</v>
          </cell>
          <cell r="T8">
            <v>7966.6</v>
          </cell>
          <cell r="U8">
            <v>5691</v>
          </cell>
          <cell r="V8">
            <v>10536.9</v>
          </cell>
          <cell r="W8">
            <v>1251.5</v>
          </cell>
          <cell r="X8">
            <v>1544.4</v>
          </cell>
          <cell r="Y8">
            <v>2422.6</v>
          </cell>
          <cell r="Z8">
            <v>11767.5</v>
          </cell>
          <cell r="AA8">
            <v>2079.9</v>
          </cell>
          <cell r="AB8">
            <v>2531.9</v>
          </cell>
          <cell r="AC8">
            <v>3444.1</v>
          </cell>
          <cell r="AD8">
            <v>8142.5</v>
          </cell>
          <cell r="AE8">
            <v>1198</v>
          </cell>
          <cell r="AF8">
            <v>1601.4</v>
          </cell>
          <cell r="AG8">
            <v>2269.9</v>
          </cell>
        </row>
        <row r="9">
          <cell r="E9" t="b">
            <v>0</v>
          </cell>
          <cell r="R9">
            <v>11656.1</v>
          </cell>
          <cell r="S9">
            <v>4587.2</v>
          </cell>
          <cell r="T9">
            <v>1374.8</v>
          </cell>
          <cell r="U9">
            <v>2471.5</v>
          </cell>
          <cell r="V9">
            <v>10611.5</v>
          </cell>
          <cell r="W9">
            <v>4292.5</v>
          </cell>
          <cell r="X9">
            <v>1208.5</v>
          </cell>
          <cell r="Y9">
            <v>2412.8000000000002</v>
          </cell>
          <cell r="Z9">
            <v>17457.7</v>
          </cell>
          <cell r="AA9">
            <v>4288</v>
          </cell>
          <cell r="AB9">
            <v>2490.5</v>
          </cell>
          <cell r="AC9">
            <v>1136.0999999999999</v>
          </cell>
          <cell r="AD9">
            <v>16550.7</v>
          </cell>
          <cell r="AE9">
            <v>4083.7</v>
          </cell>
          <cell r="AF9">
            <v>2380</v>
          </cell>
          <cell r="AG9">
            <v>1072.4000000000001</v>
          </cell>
        </row>
        <row r="10">
          <cell r="E10" t="b">
            <v>1</v>
          </cell>
          <cell r="R10">
            <v>8058.3</v>
          </cell>
          <cell r="S10">
            <v>3261.4</v>
          </cell>
          <cell r="T10">
            <v>993.9</v>
          </cell>
          <cell r="U10">
            <v>3624.9</v>
          </cell>
          <cell r="V10">
            <v>7950.1</v>
          </cell>
          <cell r="W10">
            <v>3187.3</v>
          </cell>
          <cell r="X10">
            <v>977.2</v>
          </cell>
          <cell r="Y10">
            <v>3616</v>
          </cell>
          <cell r="Z10">
            <v>6384.2</v>
          </cell>
          <cell r="AA10">
            <v>1183.8</v>
          </cell>
          <cell r="AB10">
            <v>4516.3</v>
          </cell>
          <cell r="AC10">
            <v>525.1</v>
          </cell>
          <cell r="AD10">
            <v>6221.1</v>
          </cell>
          <cell r="AE10">
            <v>1163.7</v>
          </cell>
          <cell r="AF10">
            <v>4484.3999999999996</v>
          </cell>
          <cell r="AG10">
            <v>520.70000000000005</v>
          </cell>
        </row>
        <row r="11">
          <cell r="E11" t="b">
            <v>0</v>
          </cell>
          <cell r="R11">
            <v>2997.3</v>
          </cell>
          <cell r="S11">
            <v>900.8</v>
          </cell>
          <cell r="T11">
            <v>818.6</v>
          </cell>
          <cell r="U11">
            <v>666.3</v>
          </cell>
          <cell r="V11">
            <v>2997.3</v>
          </cell>
          <cell r="W11">
            <v>900.8</v>
          </cell>
          <cell r="X11">
            <v>818.6</v>
          </cell>
          <cell r="Y11">
            <v>666.3</v>
          </cell>
          <cell r="Z11">
            <v>2189.3000000000002</v>
          </cell>
          <cell r="AA11">
            <v>1313.6</v>
          </cell>
          <cell r="AB11">
            <v>629.4</v>
          </cell>
          <cell r="AC11">
            <v>90.2</v>
          </cell>
          <cell r="AD11">
            <v>2189.3000000000002</v>
          </cell>
          <cell r="AE11">
            <v>1313.6</v>
          </cell>
          <cell r="AF11">
            <v>629.4</v>
          </cell>
          <cell r="AG11">
            <v>90.2</v>
          </cell>
        </row>
        <row r="12">
          <cell r="E12" t="b">
            <v>0</v>
          </cell>
          <cell r="R12">
            <v>1919</v>
          </cell>
          <cell r="S12">
            <v>755.5</v>
          </cell>
          <cell r="T12">
            <v>417.3</v>
          </cell>
          <cell r="U12">
            <v>198.5</v>
          </cell>
          <cell r="V12">
            <v>895.3</v>
          </cell>
          <cell r="W12">
            <v>313.7</v>
          </cell>
          <cell r="X12">
            <v>253.7</v>
          </cell>
          <cell r="Y12">
            <v>107</v>
          </cell>
          <cell r="Z12">
            <v>747.3</v>
          </cell>
          <cell r="AA12">
            <v>252.4</v>
          </cell>
          <cell r="AB12">
            <v>172</v>
          </cell>
          <cell r="AC12">
            <v>49.2</v>
          </cell>
          <cell r="AD12">
            <v>356.7</v>
          </cell>
          <cell r="AE12">
            <v>95.2</v>
          </cell>
          <cell r="AF12">
            <v>108.9</v>
          </cell>
          <cell r="AG12">
            <v>19.2</v>
          </cell>
        </row>
        <row r="13">
          <cell r="E13" t="b">
            <v>0</v>
          </cell>
          <cell r="R13">
            <v>1383</v>
          </cell>
          <cell r="S13">
            <v>460.2</v>
          </cell>
          <cell r="T13">
            <v>134.80000000000001</v>
          </cell>
          <cell r="U13">
            <v>163.1</v>
          </cell>
          <cell r="V13">
            <v>825.4</v>
          </cell>
          <cell r="W13">
            <v>216.3</v>
          </cell>
          <cell r="X13">
            <v>83.4</v>
          </cell>
          <cell r="Y13">
            <v>109</v>
          </cell>
          <cell r="Z13">
            <v>31.5</v>
          </cell>
          <cell r="AA13">
            <v>19.3</v>
          </cell>
          <cell r="AB13">
            <v>12.2</v>
          </cell>
          <cell r="AC13">
            <v>0</v>
          </cell>
          <cell r="AD13">
            <v>29.5</v>
          </cell>
          <cell r="AE13">
            <v>19</v>
          </cell>
          <cell r="AF13">
            <v>10.5</v>
          </cell>
          <cell r="AG13">
            <v>0</v>
          </cell>
        </row>
        <row r="14">
          <cell r="E14" t="b">
            <v>0</v>
          </cell>
          <cell r="R14">
            <v>56.8</v>
          </cell>
          <cell r="S14">
            <v>0</v>
          </cell>
          <cell r="T14">
            <v>14.2</v>
          </cell>
          <cell r="U14">
            <v>4.7</v>
          </cell>
          <cell r="V14">
            <v>25</v>
          </cell>
          <cell r="W14">
            <v>0</v>
          </cell>
          <cell r="X14">
            <v>10.7</v>
          </cell>
          <cell r="Y14">
            <v>0</v>
          </cell>
          <cell r="Z14">
            <v>65.599999999999994</v>
          </cell>
          <cell r="AA14">
            <v>0</v>
          </cell>
          <cell r="AB14">
            <v>17.7</v>
          </cell>
          <cell r="AC14">
            <v>44.9</v>
          </cell>
          <cell r="AD14">
            <v>61.1</v>
          </cell>
          <cell r="AE14">
            <v>0</v>
          </cell>
          <cell r="AF14">
            <v>17.3</v>
          </cell>
          <cell r="AG14">
            <v>43.8</v>
          </cell>
        </row>
        <row r="15">
          <cell r="E15" t="b">
            <v>0</v>
          </cell>
          <cell r="R15">
            <v>703.3</v>
          </cell>
          <cell r="S15">
            <v>410.5</v>
          </cell>
          <cell r="T15">
            <v>266.8</v>
          </cell>
          <cell r="U15">
            <v>0.7</v>
          </cell>
          <cell r="V15">
            <v>682.4</v>
          </cell>
          <cell r="W15">
            <v>392.8</v>
          </cell>
          <cell r="X15">
            <v>266.3</v>
          </cell>
          <cell r="Y15">
            <v>0.7</v>
          </cell>
          <cell r="Z15">
            <v>84.4</v>
          </cell>
          <cell r="AA15">
            <v>50.5</v>
          </cell>
          <cell r="AB15">
            <v>23.9</v>
          </cell>
          <cell r="AC15">
            <v>1.3</v>
          </cell>
          <cell r="AD15">
            <v>84.1</v>
          </cell>
          <cell r="AE15">
            <v>50.3</v>
          </cell>
          <cell r="AF15">
            <v>23.9</v>
          </cell>
          <cell r="AG15">
            <v>1.3</v>
          </cell>
        </row>
        <row r="16">
          <cell r="E16" t="b">
            <v>0</v>
          </cell>
          <cell r="R16">
            <v>6750.5</v>
          </cell>
          <cell r="S16">
            <v>2169</v>
          </cell>
          <cell r="T16">
            <v>1131</v>
          </cell>
          <cell r="U16">
            <v>956</v>
          </cell>
          <cell r="V16">
            <v>6548.5</v>
          </cell>
          <cell r="W16">
            <v>2068.3000000000002</v>
          </cell>
          <cell r="X16">
            <v>1107</v>
          </cell>
          <cell r="Y16">
            <v>940.9</v>
          </cell>
          <cell r="Z16">
            <v>3396.6</v>
          </cell>
          <cell r="AA16">
            <v>1426.7</v>
          </cell>
          <cell r="AB16">
            <v>1055.5999999999999</v>
          </cell>
          <cell r="AC16">
            <v>403.1</v>
          </cell>
          <cell r="AD16">
            <v>3297.7</v>
          </cell>
          <cell r="AE16">
            <v>1371.7</v>
          </cell>
          <cell r="AF16">
            <v>1052.8</v>
          </cell>
          <cell r="AG16">
            <v>402.4</v>
          </cell>
        </row>
        <row r="17">
          <cell r="E17" t="b">
            <v>0</v>
          </cell>
          <cell r="R17">
            <v>202.4</v>
          </cell>
          <cell r="S17">
            <v>81.2</v>
          </cell>
          <cell r="T17">
            <v>53.5</v>
          </cell>
          <cell r="U17">
            <v>43.6</v>
          </cell>
          <cell r="V17">
            <v>202.4</v>
          </cell>
          <cell r="W17">
            <v>81.2</v>
          </cell>
          <cell r="X17">
            <v>53.5</v>
          </cell>
          <cell r="Y17">
            <v>43.6</v>
          </cell>
          <cell r="Z17">
            <v>1514.9</v>
          </cell>
          <cell r="AA17">
            <v>802.5</v>
          </cell>
          <cell r="AB17">
            <v>525.29999999999995</v>
          </cell>
          <cell r="AC17">
            <v>176.6</v>
          </cell>
          <cell r="AD17">
            <v>1514.9</v>
          </cell>
          <cell r="AE17">
            <v>802.5</v>
          </cell>
          <cell r="AF17">
            <v>525.29999999999995</v>
          </cell>
          <cell r="AG17">
            <v>176.6</v>
          </cell>
        </row>
        <row r="18">
          <cell r="E18" t="b">
            <v>0</v>
          </cell>
          <cell r="R18">
            <v>11.4</v>
          </cell>
          <cell r="S18">
            <v>10.7</v>
          </cell>
          <cell r="T18">
            <v>0.4</v>
          </cell>
          <cell r="U18">
            <v>0.1</v>
          </cell>
          <cell r="V18">
            <v>11.4</v>
          </cell>
          <cell r="W18">
            <v>10.7</v>
          </cell>
          <cell r="X18">
            <v>0.4</v>
          </cell>
          <cell r="Y18">
            <v>0.1</v>
          </cell>
          <cell r="Z18">
            <v>39.200000000000003</v>
          </cell>
          <cell r="AA18">
            <v>20.100000000000001</v>
          </cell>
          <cell r="AB18">
            <v>19.100000000000001</v>
          </cell>
          <cell r="AC18">
            <v>0</v>
          </cell>
          <cell r="AD18">
            <v>39.200000000000003</v>
          </cell>
          <cell r="AE18">
            <v>20.100000000000001</v>
          </cell>
          <cell r="AF18">
            <v>19.100000000000001</v>
          </cell>
          <cell r="AG18">
            <v>0</v>
          </cell>
        </row>
        <row r="19">
          <cell r="E19" t="b">
            <v>0</v>
          </cell>
          <cell r="R19">
            <v>3315.1</v>
          </cell>
          <cell r="S19">
            <v>882.1</v>
          </cell>
          <cell r="T19">
            <v>464.9</v>
          </cell>
          <cell r="U19">
            <v>720.3</v>
          </cell>
          <cell r="V19">
            <v>3117.4</v>
          </cell>
          <cell r="W19">
            <v>760.7</v>
          </cell>
          <cell r="X19">
            <v>429.2</v>
          </cell>
          <cell r="Y19">
            <v>717.4</v>
          </cell>
          <cell r="Z19">
            <v>1515.4</v>
          </cell>
          <cell r="AA19">
            <v>629.4</v>
          </cell>
          <cell r="AB19">
            <v>406.8</v>
          </cell>
          <cell r="AC19">
            <v>185.6</v>
          </cell>
          <cell r="AD19">
            <v>1425.4</v>
          </cell>
          <cell r="AE19">
            <v>588.70000000000005</v>
          </cell>
          <cell r="AF19">
            <v>397.9</v>
          </cell>
          <cell r="AG19">
            <v>175.4</v>
          </cell>
        </row>
        <row r="20">
          <cell r="E20" t="b">
            <v>0</v>
          </cell>
          <cell r="R20">
            <v>118.2</v>
          </cell>
          <cell r="S20">
            <v>56.8</v>
          </cell>
          <cell r="T20">
            <v>43.8</v>
          </cell>
          <cell r="U20">
            <v>11.7</v>
          </cell>
          <cell r="V20">
            <v>28.5</v>
          </cell>
          <cell r="W20">
            <v>15.9</v>
          </cell>
          <cell r="X20">
            <v>11</v>
          </cell>
          <cell r="Y20">
            <v>1.5</v>
          </cell>
          <cell r="Z20">
            <v>806.8</v>
          </cell>
          <cell r="AA20">
            <v>479.5</v>
          </cell>
          <cell r="AB20">
            <v>162</v>
          </cell>
          <cell r="AC20">
            <v>165</v>
          </cell>
          <cell r="AD20">
            <v>566.29999999999995</v>
          </cell>
          <cell r="AE20">
            <v>308</v>
          </cell>
          <cell r="AF20">
            <v>154.4</v>
          </cell>
          <cell r="AG20">
            <v>103.6</v>
          </cell>
        </row>
        <row r="21">
          <cell r="E21" t="b">
            <v>0</v>
          </cell>
          <cell r="R21">
            <v>39.299999999999997</v>
          </cell>
          <cell r="S21">
            <v>23.5</v>
          </cell>
          <cell r="T21">
            <v>8.6999999999999993</v>
          </cell>
          <cell r="U21">
            <v>2</v>
          </cell>
          <cell r="V21">
            <v>6.1</v>
          </cell>
          <cell r="W21">
            <v>4.4000000000000004</v>
          </cell>
          <cell r="X21">
            <v>0.3</v>
          </cell>
          <cell r="Y21">
            <v>0</v>
          </cell>
          <cell r="Z21">
            <v>80.5</v>
          </cell>
          <cell r="AA21">
            <v>60.8</v>
          </cell>
          <cell r="AB21">
            <v>12.2</v>
          </cell>
          <cell r="AC21">
            <v>7.3</v>
          </cell>
          <cell r="AD21">
            <v>34.5</v>
          </cell>
          <cell r="AE21">
            <v>15</v>
          </cell>
          <cell r="AF21">
            <v>12.2</v>
          </cell>
          <cell r="AG21">
            <v>7.3</v>
          </cell>
        </row>
        <row r="22">
          <cell r="E22" t="b">
            <v>0</v>
          </cell>
          <cell r="R22">
            <v>196.6</v>
          </cell>
          <cell r="S22">
            <v>125.5</v>
          </cell>
          <cell r="T22">
            <v>22.2</v>
          </cell>
          <cell r="U22">
            <v>26.9</v>
          </cell>
          <cell r="V22">
            <v>50.7</v>
          </cell>
          <cell r="W22">
            <v>13.6</v>
          </cell>
          <cell r="X22">
            <v>5.9</v>
          </cell>
          <cell r="Y22">
            <v>23.7</v>
          </cell>
          <cell r="Z22">
            <v>48.1</v>
          </cell>
          <cell r="AA22">
            <v>37.200000000000003</v>
          </cell>
          <cell r="AB22">
            <v>6.6</v>
          </cell>
          <cell r="AC22">
            <v>2</v>
          </cell>
          <cell r="AD22">
            <v>12.7</v>
          </cell>
          <cell r="AE22">
            <v>6.4</v>
          </cell>
          <cell r="AF22">
            <v>3.5</v>
          </cell>
          <cell r="AG22">
            <v>1.4</v>
          </cell>
        </row>
        <row r="23">
          <cell r="E23" t="b">
            <v>0</v>
          </cell>
          <cell r="R23">
            <v>510.4</v>
          </cell>
          <cell r="S23">
            <v>162.1</v>
          </cell>
          <cell r="T23">
            <v>213.2</v>
          </cell>
          <cell r="U23">
            <v>66.7</v>
          </cell>
          <cell r="V23">
            <v>250.7</v>
          </cell>
          <cell r="W23">
            <v>63.5</v>
          </cell>
          <cell r="X23">
            <v>122</v>
          </cell>
          <cell r="Y23">
            <v>23.2</v>
          </cell>
          <cell r="Z23">
            <v>318.5</v>
          </cell>
          <cell r="AA23">
            <v>28.9</v>
          </cell>
          <cell r="AB23">
            <v>41</v>
          </cell>
          <cell r="AC23">
            <v>23</v>
          </cell>
          <cell r="AD23">
            <v>268.3</v>
          </cell>
          <cell r="AE23">
            <v>23.3</v>
          </cell>
          <cell r="AF23">
            <v>35.700000000000003</v>
          </cell>
          <cell r="AG23">
            <v>17.5</v>
          </cell>
        </row>
        <row r="24">
          <cell r="E24" t="b">
            <v>0</v>
          </cell>
          <cell r="R24">
            <v>89.1</v>
          </cell>
          <cell r="S24">
            <v>37.799999999999997</v>
          </cell>
          <cell r="T24">
            <v>0</v>
          </cell>
          <cell r="U24">
            <v>3.2</v>
          </cell>
          <cell r="V24">
            <v>89.1</v>
          </cell>
          <cell r="W24">
            <v>37.799999999999997</v>
          </cell>
          <cell r="X24">
            <v>0</v>
          </cell>
          <cell r="Y24">
            <v>3.2</v>
          </cell>
          <cell r="Z24">
            <v>343.1</v>
          </cell>
          <cell r="AA24">
            <v>96.9</v>
          </cell>
          <cell r="AB24">
            <v>27.6</v>
          </cell>
          <cell r="AC24">
            <v>35.299999999999997</v>
          </cell>
          <cell r="AD24">
            <v>282.5</v>
          </cell>
          <cell r="AE24">
            <v>78.900000000000006</v>
          </cell>
          <cell r="AF24">
            <v>26.7</v>
          </cell>
          <cell r="AG24">
            <v>31</v>
          </cell>
        </row>
        <row r="25">
          <cell r="E25" t="b">
            <v>0</v>
          </cell>
          <cell r="R25">
            <v>977.8</v>
          </cell>
          <cell r="S25">
            <v>265.2</v>
          </cell>
          <cell r="T25">
            <v>66.099999999999994</v>
          </cell>
          <cell r="U25">
            <v>81.2</v>
          </cell>
          <cell r="V25">
            <v>859.9</v>
          </cell>
          <cell r="W25">
            <v>217.1</v>
          </cell>
          <cell r="X25">
            <v>60.7</v>
          </cell>
          <cell r="Y25">
            <v>78.3</v>
          </cell>
          <cell r="Z25">
            <v>2656.9</v>
          </cell>
          <cell r="AA25">
            <v>852.5</v>
          </cell>
          <cell r="AB25">
            <v>550.6</v>
          </cell>
          <cell r="AC25">
            <v>351.3</v>
          </cell>
          <cell r="AD25">
            <v>2500.4</v>
          </cell>
          <cell r="AE25">
            <v>819.6</v>
          </cell>
          <cell r="AF25">
            <v>548.79999999999995</v>
          </cell>
          <cell r="AG25">
            <v>347.3</v>
          </cell>
        </row>
        <row r="26">
          <cell r="E26" t="b">
            <v>0</v>
          </cell>
          <cell r="R26">
            <v>931.7</v>
          </cell>
          <cell r="S26">
            <v>286.3</v>
          </cell>
          <cell r="T26">
            <v>383.1</v>
          </cell>
          <cell r="U26">
            <v>88.2</v>
          </cell>
          <cell r="V26">
            <v>931.7</v>
          </cell>
          <cell r="W26">
            <v>286.3</v>
          </cell>
          <cell r="X26">
            <v>383.1</v>
          </cell>
          <cell r="Y26">
            <v>88.2</v>
          </cell>
          <cell r="Z26">
            <v>173.2</v>
          </cell>
          <cell r="AA26">
            <v>29.5</v>
          </cell>
          <cell r="AB26">
            <v>22.9</v>
          </cell>
          <cell r="AC26">
            <v>0</v>
          </cell>
          <cell r="AD26">
            <v>152.80000000000001</v>
          </cell>
          <cell r="AE26">
            <v>29</v>
          </cell>
          <cell r="AF26">
            <v>22.4</v>
          </cell>
          <cell r="AG26">
            <v>0</v>
          </cell>
        </row>
        <row r="27">
          <cell r="E27" t="b">
            <v>0</v>
          </cell>
          <cell r="R27">
            <v>468.9</v>
          </cell>
          <cell r="S27">
            <v>355.6</v>
          </cell>
          <cell r="T27">
            <v>1.8</v>
          </cell>
          <cell r="U27">
            <v>23.9</v>
          </cell>
          <cell r="V27">
            <v>82.4</v>
          </cell>
          <cell r="W27">
            <v>57.6</v>
          </cell>
          <cell r="X27">
            <v>0.4</v>
          </cell>
          <cell r="Y27">
            <v>17.2</v>
          </cell>
          <cell r="Z27">
            <v>67.400000000000006</v>
          </cell>
          <cell r="AA27">
            <v>32.200000000000003</v>
          </cell>
          <cell r="AB27">
            <v>35.200000000000003</v>
          </cell>
          <cell r="AC27">
            <v>0</v>
          </cell>
          <cell r="AD27">
            <v>42.4</v>
          </cell>
          <cell r="AE27">
            <v>29.2</v>
          </cell>
          <cell r="AF27">
            <v>13.2</v>
          </cell>
          <cell r="AG27">
            <v>0</v>
          </cell>
        </row>
        <row r="28">
          <cell r="E28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2001"/>
    </sheetNames>
    <definedNames>
      <definedName name="PB" refersTo="='PRE2001'!$B$1:$V$20120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2001"/>
    </sheetNames>
    <definedNames>
      <definedName name="PB" refersTo="='PRE2001'!$B$1:$V$20120"/>
    </defined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1"/>
      <sheetName val="base1b"/>
      <sheetName val="base2"/>
      <sheetName val="base3"/>
      <sheetName val="base6"/>
      <sheetName val="base7"/>
      <sheetName val="base8"/>
      <sheetName val="Modelo 1"/>
      <sheetName val="Modelo 1A"/>
      <sheetName val="Modelo1B"/>
      <sheetName val="Modelo 2"/>
      <sheetName val="Modelo 3 "/>
      <sheetName val="Modelo 4"/>
      <sheetName val="Modelo 5"/>
      <sheetName val="Modelo 5A"/>
      <sheetName val="Modelo 6"/>
      <sheetName val="Modelo 8 "/>
      <sheetName val="Bases_mintur"/>
      <sheetName val="Indicadores AEI 2021"/>
      <sheetName val="EMIX 2022"/>
      <sheetName val="Hoja1"/>
    </sheetNames>
    <definedNames>
      <definedName name="b_1" refersTo="='base1'!$A$1:$S$27"/>
      <definedName name="b_1b" refersTo="='base1b'!$A$1:$S$49"/>
      <definedName name="b_2" refersTo="='base2'!$A$1:$S$24"/>
      <definedName name="b_3" refersTo="='base3'!$A$1:$S$21"/>
      <definedName name="b_6" refersTo="='base6'!$A$1:$S$9"/>
      <definedName name="b_7" refersTo="='base7'!$A$1:$S$7"/>
      <definedName name="b_8" refersTo="='base8'!$A$1:$S$3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1"/>
      <sheetName val="base1b"/>
      <sheetName val="base2"/>
      <sheetName val="base3"/>
      <sheetName val="base6"/>
      <sheetName val="base7"/>
      <sheetName val="base8"/>
      <sheetName val="Modelo 1"/>
      <sheetName val="Modelo 1A"/>
      <sheetName val="Modelo1B"/>
      <sheetName val="Modelo 2"/>
      <sheetName val="Modelo 3 "/>
      <sheetName val="Modelo 4"/>
      <sheetName val="Modelo 5"/>
      <sheetName val="Modelo 5A"/>
      <sheetName val="Modelo 6"/>
      <sheetName val="Modelo 8 "/>
      <sheetName val="Bases_mintur"/>
      <sheetName val="Indicadores AEI 2021"/>
      <sheetName val="EMIX 2022"/>
      <sheetName val="Hoja1"/>
    </sheetNames>
    <definedNames>
      <definedName name="b_1" refersTo="='base1'!$A$1:$S$27"/>
      <definedName name="b_1b" refersTo="='base1b'!$A$1:$S$49"/>
      <definedName name="b_2" refersTo="='base2'!$A$1:$S$24"/>
      <definedName name="b_3" refersTo="='base3'!$A$1:$S$21"/>
      <definedName name="b_6" refersTo="='base6'!$A$1:$S$9"/>
      <definedName name="b_7" refersTo="='base7'!$A$1:$S$7"/>
      <definedName name="b_8" refersTo="='base8'!$A$1:$S$3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1"/>
      <sheetName val="Profesores"/>
      <sheetName val="Cursisitas"/>
      <sheetName val="Escuela"/>
      <sheetName val="Total"/>
      <sheetName val="TCA"/>
      <sheetName val="Modelos Mintur"/>
      <sheetName val="Hoja1_x0000__x0000_2娀_x000e_ė_x0000_쀋๚᠀_x0001_଀π"/>
      <sheetName val="Hoja1??2娀_x000e_ė?쀋๚᠀_x0001_଀π"/>
      <sheetName val="Modelos_Mintur"/>
      <sheetName val="Modelos_Mintur1"/>
      <sheetName val="Hoja12娀ė쀋๚᠀଀π"/>
      <sheetName val="Hoja1??2娀ė?쀋๚᠀଀π"/>
      <sheetName val="COMPROBACIONES "/>
      <sheetName val="9002"/>
      <sheetName val="DES_9010"/>
      <sheetName val="DES_9015"/>
      <sheetName val="DES_9016"/>
      <sheetName val="DES_9020"/>
      <sheetName val="DES_9030"/>
      <sheetName val="SEG. PROT."/>
      <sheetName val="REP. MTTO"/>
      <sheetName val="DES_9301"/>
      <sheetName val="DES_9302"/>
      <sheetName val="DES_9303"/>
      <sheetName val="DES_9311"/>
      <sheetName val="DES_9101"/>
      <sheetName val="DES_9304"/>
      <sheetName val="DES_9306"/>
      <sheetName val="DES_9307"/>
      <sheetName val="EJEMPLO_9311"/>
      <sheetName val="FINANCIAMIENTO CENTRAL"/>
      <sheetName val="ALIMENTACION"/>
      <sheetName val="RESULTADO x ACTIVIDAD"/>
      <sheetName val="DES_9050"/>
      <sheetName val="DES_9060"/>
      <sheetName val="DES_9070"/>
      <sheetName val="DES_9080"/>
      <sheetName val="DES_9501 "/>
      <sheetName val="DES_9511 "/>
      <sheetName val="DES_9512 "/>
      <sheetName val="Hoja1_x005f_x0000__x005f_x0000_2娀_x005f_x000e_ė_x"/>
      <sheetName val="Hoja1??2娀_x005f_x000e_ė?쀋๚᠀_x005f_x0001_଀π"/>
      <sheetName val="Hoja1_x0000__x0000_2娀_x000e_ė_x"/>
      <sheetName val="Hoja1__2娀_x000e_ė_쀋๚᠀_x0001_଀π"/>
      <sheetName val="Hoja1_x005f_x0000__x005f_x0000_"/>
      <sheetName val="Hoja1__2娀_x005f_x000e_ė_쀋๚᠀_x00"/>
      <sheetName val="TRADING"/>
      <sheetName val="Hoja1__2娀ė_쀋๚᠀଀π"/>
      <sheetName val="Modelo-1B"/>
      <sheetName val="Hoja1__2娀_x005f_x000e_ė_쀋๚᠀_x005f_x0001_଀π"/>
      <sheetName val="Hoja1_x005f_x005f_x005f_x0000__x005f_x005f_x005f_x0000_"/>
      <sheetName val="Hoja1??2娀_x005f_x005f_x005f_x000e_ė?쀋๚᠀_x00"/>
      <sheetName val="Hoja1__2娀_x005f_x005f_x005f_x000e_ė_쀋๚᠀_x00"/>
    </sheetNames>
    <sheetDataSet>
      <sheetData sheetId="0" refreshError="1">
        <row r="5">
          <cell r="E5" t="b">
            <v>0</v>
          </cell>
          <cell r="S5">
            <v>1010.8</v>
          </cell>
        </row>
        <row r="6">
          <cell r="S6">
            <v>252.5</v>
          </cell>
        </row>
        <row r="7">
          <cell r="S7">
            <v>4.9000000000000004</v>
          </cell>
        </row>
        <row r="8">
          <cell r="S8">
            <v>3151.6</v>
          </cell>
        </row>
        <row r="9">
          <cell r="S9">
            <v>4587.2</v>
          </cell>
        </row>
        <row r="10">
          <cell r="S10">
            <v>3261.4</v>
          </cell>
        </row>
        <row r="11">
          <cell r="S11">
            <v>900.8</v>
          </cell>
        </row>
        <row r="12">
          <cell r="S12">
            <v>755.5</v>
          </cell>
        </row>
        <row r="13">
          <cell r="S13">
            <v>460.2</v>
          </cell>
        </row>
        <row r="14">
          <cell r="S14">
            <v>0</v>
          </cell>
        </row>
        <row r="15">
          <cell r="S15">
            <v>410.5</v>
          </cell>
        </row>
        <row r="16">
          <cell r="S16">
            <v>2169</v>
          </cell>
        </row>
        <row r="17">
          <cell r="S17">
            <v>81.2</v>
          </cell>
        </row>
        <row r="18">
          <cell r="S18">
            <v>10.7</v>
          </cell>
        </row>
        <row r="19">
          <cell r="S19">
            <v>882.1</v>
          </cell>
        </row>
        <row r="20">
          <cell r="S20">
            <v>56.8</v>
          </cell>
        </row>
        <row r="21">
          <cell r="S21">
            <v>23.5</v>
          </cell>
        </row>
        <row r="22">
          <cell r="S22">
            <v>125.5</v>
          </cell>
        </row>
        <row r="23">
          <cell r="S23">
            <v>162.1</v>
          </cell>
        </row>
        <row r="24">
          <cell r="S24">
            <v>37.799999999999997</v>
          </cell>
        </row>
        <row r="25">
          <cell r="S25">
            <v>265.2</v>
          </cell>
        </row>
        <row r="26">
          <cell r="S26">
            <v>286.3</v>
          </cell>
        </row>
        <row r="27">
          <cell r="S27">
            <v>355.6</v>
          </cell>
        </row>
        <row r="28">
          <cell r="S2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ISTAS Y CAMPISTAS DIAS"/>
      <sheetName val="HABITACIONES DIAS "/>
      <sheetName val="Modelo Indicadores Decreto 87"/>
      <sheetName val="EMPLEO Y SALARIO"/>
      <sheetName val="CAMPISMO OK"/>
      <sheetName val="Modelo 1"/>
      <sheetName val="Modelo1B"/>
      <sheetName val="CUADRO DE MANDO"/>
      <sheetName val="Comprobacion"/>
      <sheetName val="RESULTADO"/>
      <sheetName val="VENTAS"/>
      <sheetName val="PR"/>
      <sheetName val="PR B"/>
      <sheetName val="ART"/>
      <sheetName val="ART B "/>
      <sheetName val="HAB"/>
      <sheetName val="CB B "/>
      <sheetName val="HAB B"/>
      <sheetName val="OC"/>
      <sheetName val="OC B"/>
      <sheetName val="MAY"/>
      <sheetName val="MAY B"/>
      <sheetName val="MAT"/>
      <sheetName val="MAT B"/>
      <sheetName val="VC"/>
      <sheetName val="VC B"/>
      <sheetName val="CFG"/>
      <sheetName val="CFG B"/>
      <sheetName val="SSP"/>
      <sheetName val="SSP B"/>
      <sheetName val="CAV"/>
      <sheetName val="CAV B"/>
      <sheetName val="CMG"/>
      <sheetName val="CMG B"/>
      <sheetName val="LT"/>
      <sheetName val="LT B"/>
      <sheetName val="HLG"/>
      <sheetName val="HLG B"/>
      <sheetName val="GRM"/>
      <sheetName val="GRM B"/>
      <sheetName val="SC"/>
      <sheetName val="SC B"/>
      <sheetName val="GTM"/>
      <sheetName val="GTM B"/>
      <sheetName val="GASTO MANTENIMIENTO ACUMULADO"/>
    </sheetNames>
    <sheetDataSet>
      <sheetData sheetId="0"/>
      <sheetData sheetId="1">
        <row r="28">
          <cell r="L28">
            <v>4455</v>
          </cell>
          <cell r="M28">
            <v>4455</v>
          </cell>
          <cell r="O28">
            <v>2592</v>
          </cell>
          <cell r="P28">
            <v>2466.6999999999998</v>
          </cell>
        </row>
      </sheetData>
      <sheetData sheetId="2"/>
      <sheetData sheetId="3">
        <row r="7">
          <cell r="C7">
            <v>22403.660473652861</v>
          </cell>
          <cell r="D7">
            <v>32325.66</v>
          </cell>
          <cell r="I7">
            <v>11204.114999999993</v>
          </cell>
          <cell r="J7">
            <v>4957.5600000000004</v>
          </cell>
          <cell r="L7">
            <v>400</v>
          </cell>
          <cell r="M7">
            <v>366</v>
          </cell>
        </row>
        <row r="8">
          <cell r="C8">
            <v>28080.942180681424</v>
          </cell>
          <cell r="D8">
            <v>23280.159999999989</v>
          </cell>
          <cell r="I8">
            <v>9755.9</v>
          </cell>
          <cell r="J8">
            <v>5962.61</v>
          </cell>
          <cell r="L8">
            <v>500</v>
          </cell>
          <cell r="M8">
            <v>375</v>
          </cell>
        </row>
        <row r="9">
          <cell r="L9">
            <v>75</v>
          </cell>
        </row>
        <row r="10">
          <cell r="C10">
            <v>22352.922702213778</v>
          </cell>
          <cell r="D10">
            <v>37554.97</v>
          </cell>
          <cell r="I10">
            <v>8300</v>
          </cell>
          <cell r="J10">
            <v>7884.9</v>
          </cell>
          <cell r="L10">
            <v>165</v>
          </cell>
        </row>
        <row r="11">
          <cell r="L11">
            <v>785</v>
          </cell>
        </row>
        <row r="12">
          <cell r="L12">
            <v>222</v>
          </cell>
        </row>
        <row r="13">
          <cell r="L13">
            <v>355</v>
          </cell>
        </row>
        <row r="14">
          <cell r="C14">
            <v>18553.023444029997</v>
          </cell>
          <cell r="D14">
            <v>15834.939999999991</v>
          </cell>
          <cell r="I14">
            <v>6337.4899999999989</v>
          </cell>
          <cell r="J14">
            <v>4825.82</v>
          </cell>
        </row>
        <row r="15">
          <cell r="L15">
            <v>240</v>
          </cell>
        </row>
        <row r="19">
          <cell r="C19">
            <v>36760.103580479605</v>
          </cell>
          <cell r="D19">
            <v>38509.450000000012</v>
          </cell>
          <cell r="I19">
            <v>16694.307000833338</v>
          </cell>
          <cell r="J19">
            <v>11651.85</v>
          </cell>
        </row>
        <row r="20">
          <cell r="C20">
            <v>12590.730167096212</v>
          </cell>
          <cell r="D20">
            <v>15876.210000000006</v>
          </cell>
          <cell r="I20">
            <v>3294.6</v>
          </cell>
          <cell r="J20">
            <v>3685.09</v>
          </cell>
        </row>
        <row r="21">
          <cell r="C21">
            <v>17728.441031560847</v>
          </cell>
          <cell r="D21">
            <v>11124.989999999994</v>
          </cell>
          <cell r="I21">
            <v>7260.6040000000003</v>
          </cell>
          <cell r="J21">
            <v>3829.86</v>
          </cell>
        </row>
        <row r="23">
          <cell r="C23">
            <v>273020.06927594019</v>
          </cell>
          <cell r="D23">
            <v>287805.51</v>
          </cell>
        </row>
        <row r="27">
          <cell r="F27">
            <v>4668.3812499999967</v>
          </cell>
          <cell r="G27">
            <v>2257.5409836065573</v>
          </cell>
          <cell r="I27">
            <v>9334.8585306886926</v>
          </cell>
          <cell r="J27">
            <v>14720.245901639346</v>
          </cell>
        </row>
        <row r="28">
          <cell r="F28">
            <v>3251.9666666666667</v>
          </cell>
          <cell r="G28">
            <v>2650.048888888889</v>
          </cell>
          <cell r="I28">
            <v>9360.3140602271415</v>
          </cell>
          <cell r="J28">
            <v>10346.737777777773</v>
          </cell>
        </row>
        <row r="30">
          <cell r="F30">
            <v>8383.8383838383834</v>
          </cell>
          <cell r="G30">
            <v>5814.8230088495575</v>
          </cell>
          <cell r="I30">
            <v>22578.709800215936</v>
          </cell>
          <cell r="J30">
            <v>27695.405604719766</v>
          </cell>
        </row>
        <row r="34">
          <cell r="F34">
            <v>4612.4381368267823</v>
          </cell>
          <cell r="G34">
            <v>3848.341307814992</v>
          </cell>
          <cell r="I34">
            <v>13502.928270764191</v>
          </cell>
          <cell r="J34">
            <v>12627.543859649115</v>
          </cell>
        </row>
        <row r="39">
          <cell r="F39">
            <v>5983.6225809438483</v>
          </cell>
          <cell r="G39">
            <v>4123.0891719745223</v>
          </cell>
          <cell r="I39">
            <v>13175.664365763301</v>
          </cell>
          <cell r="J39">
            <v>13626.840056617133</v>
          </cell>
        </row>
        <row r="40">
          <cell r="F40">
            <v>2745.5</v>
          </cell>
          <cell r="G40">
            <v>3182.2884283246981</v>
          </cell>
          <cell r="I40">
            <v>10492.275139246842</v>
          </cell>
          <cell r="J40">
            <v>13710.025906735757</v>
          </cell>
        </row>
        <row r="41">
          <cell r="F41">
            <v>4939.1863945578234</v>
          </cell>
          <cell r="G41">
            <v>2901.4090909090905</v>
          </cell>
          <cell r="I41">
            <v>12060.163967048195</v>
          </cell>
          <cell r="J41">
            <v>8428.0227272727225</v>
          </cell>
        </row>
      </sheetData>
      <sheetData sheetId="4"/>
      <sheetData sheetId="5">
        <row r="9">
          <cell r="J9">
            <v>794548.8352973134</v>
          </cell>
          <cell r="K9">
            <v>973208.8600000001</v>
          </cell>
        </row>
        <row r="10">
          <cell r="J10">
            <v>774011.67238979461</v>
          </cell>
          <cell r="K10">
            <v>952633.89000000013</v>
          </cell>
        </row>
        <row r="12">
          <cell r="J12">
            <v>79472.882553402131</v>
          </cell>
          <cell r="K12">
            <v>39288.11</v>
          </cell>
        </row>
        <row r="26">
          <cell r="J26">
            <v>34236.494849611714</v>
          </cell>
          <cell r="K26">
            <v>23990.45</v>
          </cell>
        </row>
        <row r="33">
          <cell r="J33">
            <v>747371.52012409212</v>
          </cell>
          <cell r="K33">
            <v>883088.24000000011</v>
          </cell>
        </row>
        <row r="38">
          <cell r="J38">
            <v>8739.5975711492756</v>
          </cell>
          <cell r="K38">
            <v>16694.84505</v>
          </cell>
        </row>
        <row r="46">
          <cell r="J46">
            <v>87859.110825429583</v>
          </cell>
          <cell r="K46">
            <v>80713.399999999994</v>
          </cell>
        </row>
        <row r="47">
          <cell r="J47">
            <v>87859.110825429583</v>
          </cell>
          <cell r="K47">
            <v>80713.399999999994</v>
          </cell>
        </row>
        <row r="48">
          <cell r="J48">
            <v>17571.82216508592</v>
          </cell>
          <cell r="K48">
            <v>7690</v>
          </cell>
        </row>
        <row r="49">
          <cell r="J49">
            <v>26357.733247628872</v>
          </cell>
          <cell r="K49">
            <v>21538.2</v>
          </cell>
        </row>
        <row r="50">
          <cell r="J50">
            <v>26357.733247628872</v>
          </cell>
          <cell r="K50">
            <v>43359.899999999994</v>
          </cell>
        </row>
        <row r="51">
          <cell r="J51">
            <v>17571.82216508592</v>
          </cell>
          <cell r="K51">
            <v>8125.3</v>
          </cell>
        </row>
        <row r="52">
          <cell r="J52">
            <v>285.30412374676428</v>
          </cell>
          <cell r="K52">
            <v>199.92041666666668</v>
          </cell>
        </row>
        <row r="53">
          <cell r="J53">
            <v>285.30412374676428</v>
          </cell>
          <cell r="K53">
            <v>199.92041666666668</v>
          </cell>
        </row>
        <row r="54">
          <cell r="J54">
            <v>132305.68707064411</v>
          </cell>
          <cell r="K54">
            <v>204709.80000000002</v>
          </cell>
        </row>
        <row r="56">
          <cell r="J56">
            <v>4950</v>
          </cell>
          <cell r="K56">
            <v>4276</v>
          </cell>
        </row>
        <row r="62">
          <cell r="J62">
            <v>5881</v>
          </cell>
          <cell r="K62">
            <v>2923</v>
          </cell>
        </row>
        <row r="63">
          <cell r="J63">
            <v>815092</v>
          </cell>
          <cell r="K63">
            <v>698545</v>
          </cell>
        </row>
        <row r="65">
          <cell r="J65">
            <v>806355</v>
          </cell>
          <cell r="K65">
            <v>806355</v>
          </cell>
        </row>
        <row r="66">
          <cell r="J66">
            <v>145693</v>
          </cell>
          <cell r="K66">
            <v>116532</v>
          </cell>
        </row>
        <row r="70">
          <cell r="J70">
            <v>2692</v>
          </cell>
          <cell r="K70">
            <v>1097</v>
          </cell>
        </row>
      </sheetData>
      <sheetData sheetId="6">
        <row r="30">
          <cell r="J30">
            <v>115460.32788316048</v>
          </cell>
          <cell r="K30">
            <v>73600.150000000023</v>
          </cell>
        </row>
      </sheetData>
      <sheetData sheetId="7"/>
      <sheetData sheetId="8"/>
      <sheetData sheetId="9">
        <row r="7">
          <cell r="C7">
            <v>76804.006800000003</v>
          </cell>
          <cell r="D7">
            <v>89157.88</v>
          </cell>
          <cell r="L7">
            <v>1297.0248606140376</v>
          </cell>
          <cell r="M7">
            <v>16163.36</v>
          </cell>
          <cell r="P7">
            <v>76804.006800000003</v>
          </cell>
          <cell r="Q7">
            <v>88920.320000000007</v>
          </cell>
        </row>
        <row r="8">
          <cell r="C8">
            <v>103854.91124</v>
          </cell>
          <cell r="D8">
            <v>104685.92</v>
          </cell>
          <cell r="L8">
            <v>3254.7749442814238</v>
          </cell>
          <cell r="M8">
            <v>2513.3499999999913</v>
          </cell>
          <cell r="P8">
            <v>103854.91124</v>
          </cell>
          <cell r="Q8">
            <v>104660.52</v>
          </cell>
        </row>
        <row r="9">
          <cell r="C9">
            <v>76602.318568439659</v>
          </cell>
          <cell r="D9">
            <v>111410.94</v>
          </cell>
          <cell r="L9">
            <v>4030.0476596854132</v>
          </cell>
          <cell r="M9">
            <v>14020.669999999998</v>
          </cell>
          <cell r="P9">
            <v>76602.318568439659</v>
          </cell>
          <cell r="Q9">
            <v>111046.73</v>
          </cell>
        </row>
        <row r="10">
          <cell r="M10">
            <v>0</v>
          </cell>
        </row>
        <row r="11">
          <cell r="M11">
            <v>4897.57</v>
          </cell>
        </row>
        <row r="12">
          <cell r="M12">
            <v>12648.470000000008</v>
          </cell>
        </row>
        <row r="13">
          <cell r="M13">
            <v>21.379999999997381</v>
          </cell>
        </row>
        <row r="14">
          <cell r="C14">
            <v>50142.81</v>
          </cell>
          <cell r="D14">
            <v>62463.799999999996</v>
          </cell>
          <cell r="L14">
            <v>5959.4072440300006</v>
          </cell>
          <cell r="M14">
            <v>5677.419999999991</v>
          </cell>
          <cell r="P14">
            <v>50142.81</v>
          </cell>
          <cell r="Q14">
            <v>62112.219999999994</v>
          </cell>
        </row>
        <row r="15">
          <cell r="M15">
            <v>1598.9000000000015</v>
          </cell>
        </row>
        <row r="16">
          <cell r="M16">
            <v>1636.4900000000016</v>
          </cell>
        </row>
        <row r="17">
          <cell r="M17">
            <v>11395.169999999998</v>
          </cell>
        </row>
        <row r="18">
          <cell r="M18">
            <v>385.04999999999927</v>
          </cell>
        </row>
        <row r="19">
          <cell r="C19">
            <v>100327.44248861432</v>
          </cell>
          <cell r="D19">
            <v>123511.52</v>
          </cell>
          <cell r="L19">
            <v>4801.1960198986926</v>
          </cell>
          <cell r="M19">
            <v>10213.430000000008</v>
          </cell>
          <cell r="P19">
            <v>100327.44248861432</v>
          </cell>
          <cell r="Q19">
            <v>123106.71</v>
          </cell>
        </row>
        <row r="20">
          <cell r="C20">
            <v>33864.959000000003</v>
          </cell>
          <cell r="D20">
            <v>42066.16</v>
          </cell>
          <cell r="L20">
            <v>4735.390677096213</v>
          </cell>
          <cell r="M20">
            <v>6348.4600000000064</v>
          </cell>
          <cell r="P20">
            <v>33864.959000000003</v>
          </cell>
          <cell r="Q20">
            <v>41945.090000000004</v>
          </cell>
        </row>
        <row r="21">
          <cell r="C21">
            <v>47377.77240331145</v>
          </cell>
          <cell r="D21">
            <v>35116.069999999992</v>
          </cell>
          <cell r="L21">
            <v>3936.8562071965862</v>
          </cell>
          <cell r="M21">
            <v>2200.7899999999936</v>
          </cell>
          <cell r="P21">
            <v>47259.732403311449</v>
          </cell>
          <cell r="Q21">
            <v>34888.179999999993</v>
          </cell>
        </row>
        <row r="22">
          <cell r="M22">
            <v>400.09000000000015</v>
          </cell>
        </row>
      </sheetData>
      <sheetData sheetId="10">
        <row r="4">
          <cell r="G4" t="str">
            <v>Junio 2025</v>
          </cell>
        </row>
      </sheetData>
      <sheetData sheetId="11">
        <row r="5">
          <cell r="K5">
            <v>32325.66</v>
          </cell>
          <cell r="L5">
            <v>43326.639699999949</v>
          </cell>
        </row>
        <row r="9">
          <cell r="L9">
            <v>168645.47</v>
          </cell>
        </row>
        <row r="10">
          <cell r="L10">
            <v>168645.47</v>
          </cell>
        </row>
        <row r="35">
          <cell r="L35">
            <v>3756.1999999999825</v>
          </cell>
        </row>
      </sheetData>
      <sheetData sheetId="12">
        <row r="30">
          <cell r="K30">
            <v>4957.5600000000004</v>
          </cell>
          <cell r="L30">
            <v>19158.199999999972</v>
          </cell>
        </row>
      </sheetData>
      <sheetData sheetId="13">
        <row r="5">
          <cell r="K5">
            <v>23280.159999999989</v>
          </cell>
          <cell r="L5">
            <v>74545.852053681985</v>
          </cell>
        </row>
        <row r="9">
          <cell r="L9">
            <v>294471.3</v>
          </cell>
        </row>
        <row r="10">
          <cell r="L10">
            <v>294471.3</v>
          </cell>
        </row>
        <row r="35">
          <cell r="L35">
            <v>14730.800953681988</v>
          </cell>
        </row>
      </sheetData>
      <sheetData sheetId="14">
        <row r="30">
          <cell r="K30">
            <v>5962.61</v>
          </cell>
          <cell r="L30">
            <v>20038.589999999997</v>
          </cell>
        </row>
      </sheetData>
      <sheetData sheetId="15">
        <row r="5">
          <cell r="K5">
            <v>37554.97</v>
          </cell>
          <cell r="L5">
            <v>64735.561100000064</v>
          </cell>
        </row>
        <row r="9">
          <cell r="L9">
            <v>199990.01000000004</v>
          </cell>
        </row>
        <row r="10">
          <cell r="L10">
            <v>199990.01000000004</v>
          </cell>
        </row>
        <row r="35">
          <cell r="L35">
            <v>19999.000000000058</v>
          </cell>
        </row>
        <row r="56">
          <cell r="J56">
            <v>165</v>
          </cell>
          <cell r="K56">
            <v>226</v>
          </cell>
        </row>
      </sheetData>
      <sheetData sheetId="16"/>
      <sheetData sheetId="17">
        <row r="30">
          <cell r="K30">
            <v>7884.9</v>
          </cell>
          <cell r="L30">
            <v>19100</v>
          </cell>
        </row>
      </sheetData>
      <sheetData sheetId="18">
        <row r="5">
          <cell r="J5">
            <v>2434.2513651314421</v>
          </cell>
          <cell r="K5">
            <v>1463.7099999999964</v>
          </cell>
          <cell r="L5">
            <v>7192.9411953082063</v>
          </cell>
        </row>
        <row r="9">
          <cell r="J9">
            <v>19635.282907518787</v>
          </cell>
          <cell r="K9">
            <v>16945.77</v>
          </cell>
          <cell r="L9">
            <v>45584.129999999903</v>
          </cell>
        </row>
        <row r="35">
          <cell r="J35">
            <v>-6.6348685577395372E-3</v>
          </cell>
          <cell r="K35">
            <v>0</v>
          </cell>
          <cell r="L35">
            <v>1.4953082063584588E-3</v>
          </cell>
        </row>
        <row r="56">
          <cell r="J56">
            <v>75</v>
          </cell>
          <cell r="K56">
            <v>35</v>
          </cell>
        </row>
      </sheetData>
      <sheetData sheetId="19">
        <row r="30">
          <cell r="J30">
            <v>2027.2</v>
          </cell>
          <cell r="K30">
            <v>1082.72</v>
          </cell>
          <cell r="L30">
            <v>5983.63</v>
          </cell>
        </row>
      </sheetData>
      <sheetData sheetId="20">
        <row r="5">
          <cell r="J5">
            <v>18294.465060586048</v>
          </cell>
          <cell r="K5">
            <v>16289.95</v>
          </cell>
          <cell r="L5">
            <v>39504.179045915102</v>
          </cell>
        </row>
        <row r="9">
          <cell r="J9">
            <v>42035.84169999999</v>
          </cell>
          <cell r="K9">
            <v>60917.19</v>
          </cell>
          <cell r="L9">
            <v>94559.619120000003</v>
          </cell>
        </row>
        <row r="10">
          <cell r="J10">
            <v>42035.84169999999</v>
          </cell>
          <cell r="K10">
            <v>60792.51</v>
          </cell>
          <cell r="L10">
            <v>94559.619120000003</v>
          </cell>
        </row>
        <row r="35">
          <cell r="J35">
            <v>1555.7880679860464</v>
          </cell>
          <cell r="K35">
            <v>4897.57</v>
          </cell>
          <cell r="L35">
            <v>4068.7322187151003</v>
          </cell>
        </row>
        <row r="56">
          <cell r="J56">
            <v>785</v>
          </cell>
          <cell r="K56">
            <v>520</v>
          </cell>
        </row>
      </sheetData>
      <sheetData sheetId="21">
        <row r="30">
          <cell r="J30">
            <v>9928.3482400000012</v>
          </cell>
          <cell r="K30">
            <v>4030.59</v>
          </cell>
          <cell r="L30">
            <v>20532.679600000003</v>
          </cell>
        </row>
      </sheetData>
      <sheetData sheetId="22">
        <row r="5">
          <cell r="J5">
            <v>16470.357303453995</v>
          </cell>
          <cell r="K5">
            <v>23795.12000000001</v>
          </cell>
          <cell r="L5">
            <v>36238.347248833379</v>
          </cell>
        </row>
        <row r="9">
          <cell r="J9">
            <v>42011.239999999991</v>
          </cell>
          <cell r="K9">
            <v>76402.510000000009</v>
          </cell>
          <cell r="L9">
            <v>92137.74000000002</v>
          </cell>
        </row>
        <row r="10">
          <cell r="J10">
            <v>41227.399999999994</v>
          </cell>
          <cell r="K10">
            <v>76274.040000000008</v>
          </cell>
          <cell r="L10">
            <v>90570.000000000015</v>
          </cell>
        </row>
        <row r="35">
          <cell r="J35">
            <v>2966.5437034539937</v>
          </cell>
          <cell r="K35">
            <v>12648.470000000008</v>
          </cell>
          <cell r="L35">
            <v>8352.9967488333787</v>
          </cell>
        </row>
        <row r="56">
          <cell r="J56">
            <v>222</v>
          </cell>
          <cell r="K56">
            <v>152</v>
          </cell>
        </row>
      </sheetData>
      <sheetData sheetId="23">
        <row r="30">
          <cell r="J30">
            <v>8260.44</v>
          </cell>
          <cell r="K30">
            <v>3687.79</v>
          </cell>
          <cell r="L30">
            <v>16520.95</v>
          </cell>
        </row>
      </sheetData>
      <sheetData sheetId="24">
        <row r="5">
          <cell r="J5">
            <v>13034.254537421988</v>
          </cell>
          <cell r="K5">
            <v>9397.6399999999976</v>
          </cell>
          <cell r="L5">
            <v>26274.200443207708</v>
          </cell>
        </row>
        <row r="9">
          <cell r="J9">
            <v>30082.457402945711</v>
          </cell>
          <cell r="K9">
            <v>25434.21</v>
          </cell>
          <cell r="L9">
            <v>57537.2</v>
          </cell>
        </row>
        <row r="10">
          <cell r="J10">
            <v>30082.457402945711</v>
          </cell>
          <cell r="K10">
            <v>25365.78</v>
          </cell>
          <cell r="L10">
            <v>57537.2</v>
          </cell>
        </row>
        <row r="35">
          <cell r="J35">
            <v>1805.5278577286444</v>
          </cell>
          <cell r="K35">
            <v>21.379999999997381</v>
          </cell>
          <cell r="L35">
            <v>2407.2785200625003</v>
          </cell>
        </row>
        <row r="56">
          <cell r="J56">
            <v>355</v>
          </cell>
          <cell r="K56">
            <v>312</v>
          </cell>
        </row>
      </sheetData>
      <sheetData sheetId="25">
        <row r="30">
          <cell r="J30">
            <v>6230.9885423271553</v>
          </cell>
          <cell r="K30">
            <v>4853.17</v>
          </cell>
          <cell r="L30">
            <v>13895.764641298496</v>
          </cell>
        </row>
      </sheetData>
      <sheetData sheetId="26">
        <row r="5">
          <cell r="K5">
            <v>15834.939999999991</v>
          </cell>
          <cell r="L5">
            <v>38699.631099999999</v>
          </cell>
        </row>
        <row r="9">
          <cell r="L9">
            <v>107786.7</v>
          </cell>
        </row>
        <row r="10">
          <cell r="K10">
            <v>62112.219999999994</v>
          </cell>
        </row>
        <row r="35">
          <cell r="L35">
            <v>13894.199999999997</v>
          </cell>
        </row>
        <row r="56">
          <cell r="J56">
            <v>229</v>
          </cell>
          <cell r="K56">
            <v>209</v>
          </cell>
        </row>
      </sheetData>
      <sheetData sheetId="27">
        <row r="30">
          <cell r="K30">
            <v>4825.82</v>
          </cell>
          <cell r="L30">
            <v>11726.390000000001</v>
          </cell>
        </row>
      </sheetData>
      <sheetData sheetId="28">
        <row r="5">
          <cell r="J5">
            <v>14021.661290611975</v>
          </cell>
          <cell r="K5">
            <v>11149.630000000003</v>
          </cell>
          <cell r="L5">
            <v>29063.214371333292</v>
          </cell>
        </row>
        <row r="9">
          <cell r="J9">
            <v>33139.141466666661</v>
          </cell>
          <cell r="K9">
            <v>46522.87</v>
          </cell>
          <cell r="L9">
            <v>74381.201999999961</v>
          </cell>
        </row>
        <row r="10">
          <cell r="J10">
            <v>33139.141466666661</v>
          </cell>
          <cell r="K10">
            <v>46417.36</v>
          </cell>
          <cell r="L10">
            <v>74381.201999999961</v>
          </cell>
        </row>
        <row r="35">
          <cell r="J35">
            <v>4539.7641812786387</v>
          </cell>
          <cell r="K35">
            <v>1598.9000000000015</v>
          </cell>
          <cell r="L35">
            <v>9465.3019999999597</v>
          </cell>
        </row>
        <row r="56">
          <cell r="J56">
            <v>240</v>
          </cell>
          <cell r="K56">
            <v>224</v>
          </cell>
        </row>
      </sheetData>
      <sheetData sheetId="29">
        <row r="30">
          <cell r="J30">
            <v>4465.16</v>
          </cell>
          <cell r="K30">
            <v>3304.66</v>
          </cell>
          <cell r="L30">
            <v>9401.4699999999993</v>
          </cell>
        </row>
      </sheetData>
      <sheetData sheetId="30">
        <row r="5">
          <cell r="J5">
            <v>7178.6837360370428</v>
          </cell>
          <cell r="K5">
            <v>7584.0100000000011</v>
          </cell>
          <cell r="L5">
            <v>14879.381100000001</v>
          </cell>
        </row>
        <row r="9">
          <cell r="J9">
            <v>15377.788828999999</v>
          </cell>
          <cell r="K9">
            <v>20418.810000000001</v>
          </cell>
          <cell r="L9">
            <v>37166.699999999997</v>
          </cell>
        </row>
        <row r="10">
          <cell r="J10">
            <v>15377.788828999999</v>
          </cell>
          <cell r="K10">
            <v>20330.95</v>
          </cell>
          <cell r="L10">
            <v>37166.699999999997</v>
          </cell>
        </row>
        <row r="35">
          <cell r="J35">
            <v>1496.8947648470421</v>
          </cell>
          <cell r="K35">
            <v>1636.4900000000016</v>
          </cell>
          <cell r="L35">
            <v>2888.5</v>
          </cell>
        </row>
        <row r="56">
          <cell r="J56">
            <v>209</v>
          </cell>
          <cell r="K56">
            <v>201</v>
          </cell>
        </row>
      </sheetData>
      <sheetData sheetId="31">
        <row r="30">
          <cell r="J30">
            <v>3266.38</v>
          </cell>
          <cell r="K30">
            <v>3178.18</v>
          </cell>
          <cell r="L30">
            <v>6475.3899999999994</v>
          </cell>
        </row>
      </sheetData>
      <sheetData sheetId="32">
        <row r="5">
          <cell r="J5">
            <v>22808.768819965178</v>
          </cell>
          <cell r="K5">
            <v>29644.969999999998</v>
          </cell>
          <cell r="L5">
            <v>63364.487291641388</v>
          </cell>
        </row>
        <row r="9">
          <cell r="J9">
            <v>75397.766124150163</v>
          </cell>
          <cell r="K9">
            <v>113972.73</v>
          </cell>
          <cell r="L9">
            <v>167861.57891138864</v>
          </cell>
        </row>
        <row r="10">
          <cell r="J10">
            <v>75397.766124150163</v>
          </cell>
          <cell r="K10">
            <v>113762.34999999999</v>
          </cell>
          <cell r="L10">
            <v>167861.57891138864</v>
          </cell>
        </row>
        <row r="35">
          <cell r="J35">
            <v>4000.7990463086608</v>
          </cell>
          <cell r="K35">
            <v>11395.169999999998</v>
          </cell>
          <cell r="L35">
            <v>18735.978911388636</v>
          </cell>
        </row>
        <row r="56">
          <cell r="J56">
            <v>365</v>
          </cell>
          <cell r="K56">
            <v>358</v>
          </cell>
        </row>
      </sheetData>
      <sheetData sheetId="33">
        <row r="30">
          <cell r="J30">
            <v>8578.4500000000007</v>
          </cell>
          <cell r="K30">
            <v>4258.4799999999996</v>
          </cell>
          <cell r="L30">
            <v>21495.13</v>
          </cell>
        </row>
      </sheetData>
      <sheetData sheetId="34">
        <row r="5">
          <cell r="J5">
            <v>11135.307589252614</v>
          </cell>
          <cell r="K5">
            <v>7572.36</v>
          </cell>
          <cell r="L5">
            <v>22138.555660000013</v>
          </cell>
        </row>
        <row r="9">
          <cell r="J9">
            <v>23640.3809</v>
          </cell>
          <cell r="K9">
            <v>22884.53</v>
          </cell>
          <cell r="L9">
            <v>48248.100000000006</v>
          </cell>
        </row>
        <row r="10">
          <cell r="J10">
            <v>23640.3809</v>
          </cell>
          <cell r="K10">
            <v>22564.32</v>
          </cell>
          <cell r="L10">
            <v>48248.100000000006</v>
          </cell>
        </row>
        <row r="35">
          <cell r="J35">
            <v>1679.2116902526141</v>
          </cell>
          <cell r="K35">
            <v>385.04999999999927</v>
          </cell>
          <cell r="L35">
            <v>3054.4400000000096</v>
          </cell>
        </row>
        <row r="56">
          <cell r="J56">
            <v>270</v>
          </cell>
          <cell r="K56">
            <v>227</v>
          </cell>
        </row>
      </sheetData>
      <sheetData sheetId="35">
        <row r="30">
          <cell r="J30">
            <v>5461.6540000000005</v>
          </cell>
          <cell r="K30">
            <v>3081.3</v>
          </cell>
          <cell r="L30">
            <v>11182.214000000002</v>
          </cell>
        </row>
      </sheetData>
      <sheetData sheetId="36">
        <row r="5">
          <cell r="K5">
            <v>38509.450000000012</v>
          </cell>
          <cell r="L5">
            <v>78742.057861999914</v>
          </cell>
        </row>
        <row r="9">
          <cell r="L9">
            <v>217539.89999999997</v>
          </cell>
        </row>
        <row r="10">
          <cell r="L10">
            <v>217539.89999999997</v>
          </cell>
        </row>
        <row r="35">
          <cell r="L35">
            <v>16385.31999999992</v>
          </cell>
        </row>
        <row r="56">
          <cell r="J56">
            <v>465</v>
          </cell>
          <cell r="K56">
            <v>471</v>
          </cell>
        </row>
      </sheetData>
      <sheetData sheetId="37">
        <row r="30">
          <cell r="K30">
            <v>11651.85</v>
          </cell>
          <cell r="L30">
            <v>30888.6</v>
          </cell>
        </row>
      </sheetData>
      <sheetData sheetId="38">
        <row r="5">
          <cell r="K5">
            <v>15876.210000000006</v>
          </cell>
          <cell r="L5">
            <v>35169.060184660033</v>
          </cell>
        </row>
        <row r="9">
          <cell r="L9">
            <v>80618.700000000012</v>
          </cell>
        </row>
        <row r="10">
          <cell r="L10">
            <v>80618.700000000012</v>
          </cell>
        </row>
        <row r="35">
          <cell r="L35">
            <v>17432.503184660032</v>
          </cell>
        </row>
        <row r="56">
          <cell r="J56">
            <v>200</v>
          </cell>
          <cell r="K56">
            <v>193</v>
          </cell>
        </row>
      </sheetData>
      <sheetData sheetId="39">
        <row r="30">
          <cell r="K30">
            <v>3685.09</v>
          </cell>
          <cell r="L30">
            <v>7150</v>
          </cell>
        </row>
      </sheetData>
      <sheetData sheetId="40">
        <row r="5">
          <cell r="K5">
            <v>11124.989999999994</v>
          </cell>
          <cell r="L5">
            <v>46050.821868354622</v>
          </cell>
        </row>
        <row r="9">
          <cell r="L9">
            <v>115700.049</v>
          </cell>
        </row>
        <row r="10">
          <cell r="L10">
            <v>115449.019</v>
          </cell>
        </row>
        <row r="35">
          <cell r="L35">
            <v>19096.402878354624</v>
          </cell>
        </row>
        <row r="56">
          <cell r="J56">
            <v>245</v>
          </cell>
          <cell r="K56">
            <v>220</v>
          </cell>
        </row>
      </sheetData>
      <sheetData sheetId="41">
        <row r="30">
          <cell r="K30">
            <v>3829.86</v>
          </cell>
          <cell r="L30">
            <v>12921.209999999997</v>
          </cell>
        </row>
      </sheetData>
      <sheetData sheetId="42">
        <row r="5">
          <cell r="J5">
            <v>9172.4959937651292</v>
          </cell>
          <cell r="K5">
            <v>6401.7400000000007</v>
          </cell>
          <cell r="L5">
            <v>16755.073900800002</v>
          </cell>
        </row>
        <row r="9">
          <cell r="J9">
            <v>24254.715466666621</v>
          </cell>
          <cell r="K9">
            <v>21297.95</v>
          </cell>
          <cell r="L9">
            <v>42074.5</v>
          </cell>
        </row>
        <row r="10">
          <cell r="J10">
            <v>24254.715466666621</v>
          </cell>
          <cell r="K10">
            <v>20446.810000000001</v>
          </cell>
          <cell r="L10">
            <v>42074.5</v>
          </cell>
        </row>
        <row r="35">
          <cell r="J35">
            <v>1118.0948834318006</v>
          </cell>
          <cell r="K35">
            <v>400.09000000000015</v>
          </cell>
          <cell r="L35">
            <v>1352.4000000000015</v>
          </cell>
        </row>
        <row r="56">
          <cell r="J56">
            <v>225</v>
          </cell>
          <cell r="K56">
            <v>187</v>
          </cell>
        </row>
      </sheetData>
      <sheetData sheetId="43">
        <row r="30">
          <cell r="J30">
            <v>4394.6911</v>
          </cell>
          <cell r="K30">
            <v>3325.57</v>
          </cell>
          <cell r="L30">
            <v>8755.1083200000012</v>
          </cell>
        </row>
      </sheetData>
      <sheetData sheetId="4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27"/>
  <sheetViews>
    <sheetView topLeftCell="A15" workbookViewId="0">
      <selection activeCell="B11" sqref="B11"/>
    </sheetView>
  </sheetViews>
  <sheetFormatPr baseColWidth="10" defaultColWidth="11.40625" defaultRowHeight="14.75" x14ac:dyDescent="0.75"/>
  <cols>
    <col min="1" max="1" width="11.40625" style="113"/>
    <col min="2" max="2" width="58.54296875" style="113" customWidth="1"/>
    <col min="3" max="3" width="13.40625" style="113" customWidth="1"/>
    <col min="4" max="4" width="15.86328125" style="113" customWidth="1"/>
    <col min="5" max="5" width="14.1328125" style="113" customWidth="1"/>
    <col min="6" max="6" width="16.26953125" style="113" customWidth="1"/>
    <col min="7" max="7" width="11.7265625" style="113" bestFit="1" customWidth="1"/>
    <col min="8" max="8" width="16" style="113" customWidth="1"/>
    <col min="9" max="9" width="12.1328125" style="113" bestFit="1" customWidth="1"/>
    <col min="10" max="12" width="11.40625" style="113"/>
    <col min="13" max="14" width="11.7265625" style="113" bestFit="1" customWidth="1"/>
    <col min="15" max="16384" width="11.40625" style="113"/>
  </cols>
  <sheetData>
    <row r="2" spans="2:14" x14ac:dyDescent="0.75">
      <c r="B2" s="263" t="s">
        <v>194</v>
      </c>
    </row>
    <row r="3" spans="2:14" ht="15.5" thickBot="1" x14ac:dyDescent="0.9">
      <c r="B3" s="263" t="s">
        <v>168</v>
      </c>
    </row>
    <row r="4" spans="2:14" ht="58.75" thickBot="1" x14ac:dyDescent="0.9">
      <c r="B4" s="318" t="s">
        <v>81</v>
      </c>
      <c r="C4" s="265" t="s">
        <v>169</v>
      </c>
      <c r="D4" s="266" t="s">
        <v>170</v>
      </c>
      <c r="E4" s="266" t="s">
        <v>320</v>
      </c>
      <c r="F4" s="267" t="s">
        <v>171</v>
      </c>
    </row>
    <row r="5" spans="2:14" ht="15.5" thickBot="1" x14ac:dyDescent="0.9">
      <c r="B5" s="319"/>
      <c r="C5" s="268">
        <v>1</v>
      </c>
      <c r="D5" s="269">
        <v>2</v>
      </c>
      <c r="E5" s="269">
        <v>2</v>
      </c>
      <c r="F5" s="270" t="s">
        <v>172</v>
      </c>
      <c r="G5" s="114"/>
      <c r="H5" s="115"/>
    </row>
    <row r="6" spans="2:14" x14ac:dyDescent="0.75">
      <c r="B6" s="271" t="s">
        <v>76</v>
      </c>
      <c r="C6" s="272">
        <f>'EMPLEO Y SALARIO'!D23</f>
        <v>1966778.8300099999</v>
      </c>
      <c r="D6" s="295">
        <v>2164662.2999999998</v>
      </c>
      <c r="E6" s="273">
        <v>2164662.2999999998</v>
      </c>
      <c r="F6" s="274">
        <f>D6-C6</f>
        <v>197883.4699899999</v>
      </c>
      <c r="G6" s="114"/>
      <c r="H6" s="321" t="s">
        <v>197</v>
      </c>
      <c r="I6" s="116"/>
      <c r="L6" s="114">
        <f>D7*0.5</f>
        <v>975300</v>
      </c>
      <c r="M6" s="114">
        <f>L6*1.05</f>
        <v>1024065</v>
      </c>
      <c r="N6" s="114">
        <f>D6-D7</f>
        <v>214062.29999999981</v>
      </c>
    </row>
    <row r="7" spans="2:14" ht="15" customHeight="1" x14ac:dyDescent="0.75">
      <c r="B7" s="275" t="s">
        <v>173</v>
      </c>
      <c r="C7" s="276">
        <v>1889000</v>
      </c>
      <c r="D7" s="277">
        <v>1950600</v>
      </c>
      <c r="E7" s="277">
        <v>2096895</v>
      </c>
      <c r="F7" s="274">
        <f>D7-C7</f>
        <v>61600</v>
      </c>
      <c r="G7" s="320" t="s">
        <v>196</v>
      </c>
      <c r="H7" s="321"/>
      <c r="I7" s="114"/>
      <c r="J7" s="113">
        <f>D7/C7</f>
        <v>1.032609846479619</v>
      </c>
      <c r="L7" s="114">
        <f>D7*0.05</f>
        <v>97530</v>
      </c>
      <c r="M7" s="114">
        <f>L7*2</f>
        <v>195060</v>
      </c>
    </row>
    <row r="8" spans="2:14" x14ac:dyDescent="0.75">
      <c r="B8" s="278" t="s">
        <v>174</v>
      </c>
      <c r="C8" s="279">
        <f>C6-C11</f>
        <v>1809770.21233</v>
      </c>
      <c r="D8" s="280">
        <v>2078241.9623400001</v>
      </c>
      <c r="E8" s="280">
        <v>2078241.9623400001</v>
      </c>
      <c r="F8" s="274">
        <f>D8-C8</f>
        <v>268471.75001000008</v>
      </c>
      <c r="G8" s="320"/>
      <c r="H8" s="321"/>
      <c r="L8" s="114">
        <f>SUM(L6:L7)</f>
        <v>1072830</v>
      </c>
      <c r="M8" s="114">
        <f>SUM(M6:M7)</f>
        <v>1219125</v>
      </c>
    </row>
    <row r="9" spans="2:14" x14ac:dyDescent="0.75">
      <c r="B9" s="275" t="s">
        <v>175</v>
      </c>
      <c r="C9" s="276">
        <f>'EMPLEO Y SALARIO'!M23</f>
        <v>149208.96000000002</v>
      </c>
      <c r="D9" s="277">
        <f>'P 14-B'!T48+'P 14-B'!T49</f>
        <v>230375.08371428572</v>
      </c>
      <c r="E9" s="277">
        <v>323931.43900000001</v>
      </c>
      <c r="F9" s="274">
        <f t="shared" ref="F9" si="0">D9-C9</f>
        <v>81166.123714285699</v>
      </c>
      <c r="G9" s="113">
        <f>F9*19%</f>
        <v>15421.563505714283</v>
      </c>
      <c r="H9" s="114">
        <f>SUM(F9:G9)</f>
        <v>96587.687219999978</v>
      </c>
      <c r="J9" s="113">
        <f>D9/C9</f>
        <v>1.5439762043397776</v>
      </c>
      <c r="L9" s="114">
        <f>D7-L8</f>
        <v>877770</v>
      </c>
    </row>
    <row r="10" spans="2:14" x14ac:dyDescent="0.75">
      <c r="B10" s="275" t="s">
        <v>176</v>
      </c>
      <c r="C10" s="276">
        <v>0</v>
      </c>
      <c r="D10" s="277">
        <f>'P 14-B'!T50</f>
        <v>60595.199999999997</v>
      </c>
      <c r="E10" s="277">
        <v>60552</v>
      </c>
      <c r="F10" s="274">
        <f>D10-C10</f>
        <v>60595.199999999997</v>
      </c>
      <c r="H10" s="114">
        <f>H9+F10</f>
        <v>157182.88721999998</v>
      </c>
      <c r="M10" s="114">
        <f>M8+L9</f>
        <v>2096895</v>
      </c>
      <c r="N10" s="114">
        <f>M10+N6</f>
        <v>2310957.2999999998</v>
      </c>
    </row>
    <row r="11" spans="2:14" x14ac:dyDescent="0.75">
      <c r="B11" s="275" t="s">
        <v>177</v>
      </c>
      <c r="C11" s="276">
        <f>'EMPLEO Y SALARIO'!J23</f>
        <v>157008.61768000002</v>
      </c>
      <c r="D11" s="277">
        <f>D6-D8</f>
        <v>86420.337659999728</v>
      </c>
      <c r="E11" s="277">
        <f>E6-E8</f>
        <v>86420.337659999728</v>
      </c>
      <c r="F11" s="274">
        <f>D11-C11</f>
        <v>-70588.280020000297</v>
      </c>
      <c r="G11" s="114">
        <f>E11/C11</f>
        <v>0.55041779831558935</v>
      </c>
      <c r="H11" s="114">
        <f>C8+H10</f>
        <v>1966953.0995499999</v>
      </c>
    </row>
    <row r="12" spans="2:14" x14ac:dyDescent="0.75">
      <c r="B12" s="275" t="s">
        <v>178</v>
      </c>
      <c r="C12" s="281">
        <f>'EMPLEO Y SALARIO'!P23</f>
        <v>4205</v>
      </c>
      <c r="D12" s="282">
        <f>'P 14-B'!T35</f>
        <v>4208</v>
      </c>
      <c r="E12" s="282">
        <v>4205</v>
      </c>
      <c r="F12" s="274">
        <f>D12-C12</f>
        <v>3</v>
      </c>
    </row>
    <row r="13" spans="2:14" x14ac:dyDescent="0.75">
      <c r="B13" s="283" t="s">
        <v>179</v>
      </c>
      <c r="C13" s="276">
        <f>C9/C12/12*1000</f>
        <v>2956.9750297265164</v>
      </c>
      <c r="D13" s="277">
        <f>D9/D12/12*1000</f>
        <v>4562.2442117055953</v>
      </c>
      <c r="E13" s="277">
        <f>E9/E12/12*1000</f>
        <v>6419.5687475227915</v>
      </c>
      <c r="F13" s="274">
        <f>D13-C13</f>
        <v>1605.2691819790789</v>
      </c>
      <c r="G13" s="113">
        <f>D13/C13</f>
        <v>1.5428754608480906</v>
      </c>
    </row>
    <row r="14" spans="2:14" x14ac:dyDescent="0.75">
      <c r="B14" s="283" t="s">
        <v>321</v>
      </c>
      <c r="C14" s="276">
        <f>C10/C12/12</f>
        <v>0</v>
      </c>
      <c r="D14" s="277">
        <f>D10/D12/12</f>
        <v>1.2</v>
      </c>
      <c r="E14" s="277">
        <f>E10/E12/12</f>
        <v>1.2</v>
      </c>
      <c r="F14" s="274">
        <f t="shared" ref="F14:F16" si="1">D14-C14</f>
        <v>1.2</v>
      </c>
    </row>
    <row r="15" spans="2:14" x14ac:dyDescent="0.75">
      <c r="B15" s="283" t="s">
        <v>180</v>
      </c>
      <c r="C15" s="277">
        <f t="shared" ref="C15:D15" si="2">C11/C12/12*100</f>
        <v>311.1546129211257</v>
      </c>
      <c r="D15" s="277">
        <f t="shared" si="2"/>
        <v>171.14293738117817</v>
      </c>
      <c r="E15" s="277">
        <f t="shared" ref="E15" si="3">E11/E12/12*100</f>
        <v>171.26503697978544</v>
      </c>
      <c r="F15" s="274">
        <f t="shared" si="1"/>
        <v>-140.01167553994753</v>
      </c>
      <c r="I15" s="112" t="s">
        <v>315</v>
      </c>
    </row>
    <row r="16" spans="2:14" x14ac:dyDescent="0.75">
      <c r="B16" s="283" t="s">
        <v>181</v>
      </c>
      <c r="C16" s="276">
        <f>C13+C15</f>
        <v>3268.129642647642</v>
      </c>
      <c r="D16" s="277">
        <f>D13+D15</f>
        <v>4733.3871490867732</v>
      </c>
      <c r="E16" s="277">
        <f>E13+E15</f>
        <v>6590.8337845025771</v>
      </c>
      <c r="F16" s="274">
        <f t="shared" si="1"/>
        <v>1465.2575064391312</v>
      </c>
      <c r="I16" s="264" t="s">
        <v>316</v>
      </c>
      <c r="J16" s="264"/>
      <c r="K16" s="264"/>
      <c r="L16" s="264"/>
    </row>
    <row r="17" spans="2:12" x14ac:dyDescent="0.75">
      <c r="B17" s="275"/>
      <c r="C17" s="276"/>
      <c r="D17" s="277"/>
      <c r="E17" s="277"/>
      <c r="F17" s="284"/>
      <c r="I17" s="264" t="s">
        <v>317</v>
      </c>
      <c r="J17" s="264"/>
      <c r="K17" s="264"/>
      <c r="L17" s="264"/>
    </row>
    <row r="18" spans="2:12" x14ac:dyDescent="0.75">
      <c r="B18" s="275" t="s">
        <v>182</v>
      </c>
      <c r="C18" s="276"/>
      <c r="D18" s="277"/>
      <c r="E18" s="277"/>
      <c r="F18" s="284"/>
    </row>
    <row r="19" spans="2:12" ht="15.5" thickBot="1" x14ac:dyDescent="0.9">
      <c r="B19" s="285" t="s">
        <v>183</v>
      </c>
      <c r="C19" s="286"/>
      <c r="D19" s="287"/>
      <c r="E19" s="287"/>
      <c r="F19" s="288"/>
    </row>
    <row r="20" spans="2:12" x14ac:dyDescent="0.75">
      <c r="B20" s="289" t="s">
        <v>184</v>
      </c>
      <c r="C20" s="290">
        <f>C9/C7*100</f>
        <v>7.8988332451032299</v>
      </c>
      <c r="D20" s="290">
        <f>D9/D7*100</f>
        <v>11.810472865491937</v>
      </c>
      <c r="E20" s="290">
        <f>E9/E7*100</f>
        <v>15.448147809022389</v>
      </c>
      <c r="F20" s="291">
        <f>D20-C20</f>
        <v>3.9116396203887067</v>
      </c>
    </row>
    <row r="21" spans="2:12" ht="15.5" thickBot="1" x14ac:dyDescent="0.9">
      <c r="B21" s="292" t="s">
        <v>185</v>
      </c>
      <c r="C21" s="293">
        <f>C10/C7*100</f>
        <v>0</v>
      </c>
      <c r="D21" s="293">
        <f>D10/D7*100</f>
        <v>3.1064903106736388</v>
      </c>
      <c r="E21" s="293">
        <f>E10/E7*100</f>
        <v>2.8876982395398909</v>
      </c>
      <c r="F21" s="294">
        <f>D21-C21</f>
        <v>3.1064903106736388</v>
      </c>
    </row>
    <row r="23" spans="2:12" x14ac:dyDescent="0.75">
      <c r="B23" s="263" t="s">
        <v>186</v>
      </c>
      <c r="C23" s="264"/>
      <c r="D23" s="264"/>
    </row>
    <row r="24" spans="2:12" x14ac:dyDescent="0.75">
      <c r="B24" s="264" t="s">
        <v>187</v>
      </c>
      <c r="C24" s="264"/>
      <c r="D24" s="264"/>
    </row>
    <row r="25" spans="2:12" x14ac:dyDescent="0.75">
      <c r="B25" s="264" t="s">
        <v>188</v>
      </c>
      <c r="C25" s="264"/>
      <c r="D25" s="264"/>
    </row>
    <row r="26" spans="2:12" x14ac:dyDescent="0.75">
      <c r="B26" s="264" t="s">
        <v>189</v>
      </c>
      <c r="C26" s="264"/>
      <c r="D26" s="264"/>
    </row>
    <row r="27" spans="2:12" x14ac:dyDescent="0.75">
      <c r="B27" s="264" t="s">
        <v>190</v>
      </c>
    </row>
  </sheetData>
  <mergeCells count="3">
    <mergeCell ref="B4:B5"/>
    <mergeCell ref="G7:G8"/>
    <mergeCell ref="H6:H8"/>
  </mergeCells>
  <pageMargins left="0.7" right="0.7" top="0.75" bottom="0.75" header="0.3" footer="0.3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44"/>
  <sheetViews>
    <sheetView view="pageBreakPreview" topLeftCell="A4" zoomScaleNormal="100" zoomScaleSheetLayoutView="100" workbookViewId="0">
      <pane xSplit="1" ySplit="3" topLeftCell="B16" activePane="bottomRight" state="frozen"/>
      <selection activeCell="F13" sqref="F13:J13"/>
      <selection pane="topRight" activeCell="F13" sqref="F13:J13"/>
      <selection pane="bottomLeft" activeCell="F13" sqref="F13:J13"/>
      <selection pane="bottomRight" activeCell="Q24" sqref="Q24"/>
    </sheetView>
  </sheetViews>
  <sheetFormatPr baseColWidth="10" defaultColWidth="15" defaultRowHeight="14" x14ac:dyDescent="0.6"/>
  <cols>
    <col min="1" max="1" width="15.26953125" style="3" bestFit="1" customWidth="1"/>
    <col min="2" max="4" width="15.26953125" style="3" customWidth="1"/>
    <col min="5" max="7" width="11.1328125" style="3" customWidth="1"/>
    <col min="8" max="10" width="13.40625" style="3" customWidth="1"/>
    <col min="11" max="11" width="11.1328125" style="3" customWidth="1"/>
    <col min="12" max="12" width="12.40625" style="3" bestFit="1" customWidth="1"/>
    <col min="13" max="13" width="12.40625" style="3" customWidth="1"/>
    <col min="14" max="15" width="11.1328125" style="3" customWidth="1"/>
    <col min="16" max="232" width="11.40625" style="3" customWidth="1"/>
    <col min="233" max="233" width="19.86328125" style="3" customWidth="1"/>
    <col min="234" max="246" width="12.7265625" style="3" customWidth="1"/>
    <col min="247" max="258" width="15" style="3"/>
    <col min="259" max="259" width="15.26953125" style="3" bestFit="1" customWidth="1"/>
    <col min="260" max="262" width="11.1328125" style="3" customWidth="1"/>
    <col min="263" max="265" width="13.40625" style="3" customWidth="1"/>
    <col min="266" max="266" width="12.40625" style="3" bestFit="1" customWidth="1"/>
    <col min="267" max="267" width="11.1328125" style="3" customWidth="1"/>
    <col min="268" max="268" width="12.40625" style="3" bestFit="1" customWidth="1"/>
    <col min="269" max="271" width="11.1328125" style="3" customWidth="1"/>
    <col min="272" max="488" width="11.40625" style="3" customWidth="1"/>
    <col min="489" max="489" width="19.86328125" style="3" customWidth="1"/>
    <col min="490" max="502" width="12.7265625" style="3" customWidth="1"/>
    <col min="503" max="514" width="15" style="3"/>
    <col min="515" max="515" width="15.26953125" style="3" bestFit="1" customWidth="1"/>
    <col min="516" max="518" width="11.1328125" style="3" customWidth="1"/>
    <col min="519" max="521" width="13.40625" style="3" customWidth="1"/>
    <col min="522" max="522" width="12.40625" style="3" bestFit="1" customWidth="1"/>
    <col min="523" max="523" width="11.1328125" style="3" customWidth="1"/>
    <col min="524" max="524" width="12.40625" style="3" bestFit="1" customWidth="1"/>
    <col min="525" max="527" width="11.1328125" style="3" customWidth="1"/>
    <col min="528" max="744" width="11.40625" style="3" customWidth="1"/>
    <col min="745" max="745" width="19.86328125" style="3" customWidth="1"/>
    <col min="746" max="758" width="12.7265625" style="3" customWidth="1"/>
    <col min="759" max="770" width="15" style="3"/>
    <col min="771" max="771" width="15.26953125" style="3" bestFit="1" customWidth="1"/>
    <col min="772" max="774" width="11.1328125" style="3" customWidth="1"/>
    <col min="775" max="777" width="13.40625" style="3" customWidth="1"/>
    <col min="778" max="778" width="12.40625" style="3" bestFit="1" customWidth="1"/>
    <col min="779" max="779" width="11.1328125" style="3" customWidth="1"/>
    <col min="780" max="780" width="12.40625" style="3" bestFit="1" customWidth="1"/>
    <col min="781" max="783" width="11.1328125" style="3" customWidth="1"/>
    <col min="784" max="1000" width="11.40625" style="3" customWidth="1"/>
    <col min="1001" max="1001" width="19.86328125" style="3" customWidth="1"/>
    <col min="1002" max="1014" width="12.7265625" style="3" customWidth="1"/>
    <col min="1015" max="1026" width="15" style="3"/>
    <col min="1027" max="1027" width="15.26953125" style="3" bestFit="1" customWidth="1"/>
    <col min="1028" max="1030" width="11.1328125" style="3" customWidth="1"/>
    <col min="1031" max="1033" width="13.40625" style="3" customWidth="1"/>
    <col min="1034" max="1034" width="12.40625" style="3" bestFit="1" customWidth="1"/>
    <col min="1035" max="1035" width="11.1328125" style="3" customWidth="1"/>
    <col min="1036" max="1036" width="12.40625" style="3" bestFit="1" customWidth="1"/>
    <col min="1037" max="1039" width="11.1328125" style="3" customWidth="1"/>
    <col min="1040" max="1256" width="11.40625" style="3" customWidth="1"/>
    <col min="1257" max="1257" width="19.86328125" style="3" customWidth="1"/>
    <col min="1258" max="1270" width="12.7265625" style="3" customWidth="1"/>
    <col min="1271" max="1282" width="15" style="3"/>
    <col min="1283" max="1283" width="15.26953125" style="3" bestFit="1" customWidth="1"/>
    <col min="1284" max="1286" width="11.1328125" style="3" customWidth="1"/>
    <col min="1287" max="1289" width="13.40625" style="3" customWidth="1"/>
    <col min="1290" max="1290" width="12.40625" style="3" bestFit="1" customWidth="1"/>
    <col min="1291" max="1291" width="11.1328125" style="3" customWidth="1"/>
    <col min="1292" max="1292" width="12.40625" style="3" bestFit="1" customWidth="1"/>
    <col min="1293" max="1295" width="11.1328125" style="3" customWidth="1"/>
    <col min="1296" max="1512" width="11.40625" style="3" customWidth="1"/>
    <col min="1513" max="1513" width="19.86328125" style="3" customWidth="1"/>
    <col min="1514" max="1526" width="12.7265625" style="3" customWidth="1"/>
    <col min="1527" max="1538" width="15" style="3"/>
    <col min="1539" max="1539" width="15.26953125" style="3" bestFit="1" customWidth="1"/>
    <col min="1540" max="1542" width="11.1328125" style="3" customWidth="1"/>
    <col min="1543" max="1545" width="13.40625" style="3" customWidth="1"/>
    <col min="1546" max="1546" width="12.40625" style="3" bestFit="1" customWidth="1"/>
    <col min="1547" max="1547" width="11.1328125" style="3" customWidth="1"/>
    <col min="1548" max="1548" width="12.40625" style="3" bestFit="1" customWidth="1"/>
    <col min="1549" max="1551" width="11.1328125" style="3" customWidth="1"/>
    <col min="1552" max="1768" width="11.40625" style="3" customWidth="1"/>
    <col min="1769" max="1769" width="19.86328125" style="3" customWidth="1"/>
    <col min="1770" max="1782" width="12.7265625" style="3" customWidth="1"/>
    <col min="1783" max="1794" width="15" style="3"/>
    <col min="1795" max="1795" width="15.26953125" style="3" bestFit="1" customWidth="1"/>
    <col min="1796" max="1798" width="11.1328125" style="3" customWidth="1"/>
    <col min="1799" max="1801" width="13.40625" style="3" customWidth="1"/>
    <col min="1802" max="1802" width="12.40625" style="3" bestFit="1" customWidth="1"/>
    <col min="1803" max="1803" width="11.1328125" style="3" customWidth="1"/>
    <col min="1804" max="1804" width="12.40625" style="3" bestFit="1" customWidth="1"/>
    <col min="1805" max="1807" width="11.1328125" style="3" customWidth="1"/>
    <col min="1808" max="2024" width="11.40625" style="3" customWidth="1"/>
    <col min="2025" max="2025" width="19.86328125" style="3" customWidth="1"/>
    <col min="2026" max="2038" width="12.7265625" style="3" customWidth="1"/>
    <col min="2039" max="2050" width="15" style="3"/>
    <col min="2051" max="2051" width="15.26953125" style="3" bestFit="1" customWidth="1"/>
    <col min="2052" max="2054" width="11.1328125" style="3" customWidth="1"/>
    <col min="2055" max="2057" width="13.40625" style="3" customWidth="1"/>
    <col min="2058" max="2058" width="12.40625" style="3" bestFit="1" customWidth="1"/>
    <col min="2059" max="2059" width="11.1328125" style="3" customWidth="1"/>
    <col min="2060" max="2060" width="12.40625" style="3" bestFit="1" customWidth="1"/>
    <col min="2061" max="2063" width="11.1328125" style="3" customWidth="1"/>
    <col min="2064" max="2280" width="11.40625" style="3" customWidth="1"/>
    <col min="2281" max="2281" width="19.86328125" style="3" customWidth="1"/>
    <col min="2282" max="2294" width="12.7265625" style="3" customWidth="1"/>
    <col min="2295" max="2306" width="15" style="3"/>
    <col min="2307" max="2307" width="15.26953125" style="3" bestFit="1" customWidth="1"/>
    <col min="2308" max="2310" width="11.1328125" style="3" customWidth="1"/>
    <col min="2311" max="2313" width="13.40625" style="3" customWidth="1"/>
    <col min="2314" max="2314" width="12.40625" style="3" bestFit="1" customWidth="1"/>
    <col min="2315" max="2315" width="11.1328125" style="3" customWidth="1"/>
    <col min="2316" max="2316" width="12.40625" style="3" bestFit="1" customWidth="1"/>
    <col min="2317" max="2319" width="11.1328125" style="3" customWidth="1"/>
    <col min="2320" max="2536" width="11.40625" style="3" customWidth="1"/>
    <col min="2537" max="2537" width="19.86328125" style="3" customWidth="1"/>
    <col min="2538" max="2550" width="12.7265625" style="3" customWidth="1"/>
    <col min="2551" max="2562" width="15" style="3"/>
    <col min="2563" max="2563" width="15.26953125" style="3" bestFit="1" customWidth="1"/>
    <col min="2564" max="2566" width="11.1328125" style="3" customWidth="1"/>
    <col min="2567" max="2569" width="13.40625" style="3" customWidth="1"/>
    <col min="2570" max="2570" width="12.40625" style="3" bestFit="1" customWidth="1"/>
    <col min="2571" max="2571" width="11.1328125" style="3" customWidth="1"/>
    <col min="2572" max="2572" width="12.40625" style="3" bestFit="1" customWidth="1"/>
    <col min="2573" max="2575" width="11.1328125" style="3" customWidth="1"/>
    <col min="2576" max="2792" width="11.40625" style="3" customWidth="1"/>
    <col min="2793" max="2793" width="19.86328125" style="3" customWidth="1"/>
    <col min="2794" max="2806" width="12.7265625" style="3" customWidth="1"/>
    <col min="2807" max="2818" width="15" style="3"/>
    <col min="2819" max="2819" width="15.26953125" style="3" bestFit="1" customWidth="1"/>
    <col min="2820" max="2822" width="11.1328125" style="3" customWidth="1"/>
    <col min="2823" max="2825" width="13.40625" style="3" customWidth="1"/>
    <col min="2826" max="2826" width="12.40625" style="3" bestFit="1" customWidth="1"/>
    <col min="2827" max="2827" width="11.1328125" style="3" customWidth="1"/>
    <col min="2828" max="2828" width="12.40625" style="3" bestFit="1" customWidth="1"/>
    <col min="2829" max="2831" width="11.1328125" style="3" customWidth="1"/>
    <col min="2832" max="3048" width="11.40625" style="3" customWidth="1"/>
    <col min="3049" max="3049" width="19.86328125" style="3" customWidth="1"/>
    <col min="3050" max="3062" width="12.7265625" style="3" customWidth="1"/>
    <col min="3063" max="3074" width="15" style="3"/>
    <col min="3075" max="3075" width="15.26953125" style="3" bestFit="1" customWidth="1"/>
    <col min="3076" max="3078" width="11.1328125" style="3" customWidth="1"/>
    <col min="3079" max="3081" width="13.40625" style="3" customWidth="1"/>
    <col min="3082" max="3082" width="12.40625" style="3" bestFit="1" customWidth="1"/>
    <col min="3083" max="3083" width="11.1328125" style="3" customWidth="1"/>
    <col min="3084" max="3084" width="12.40625" style="3" bestFit="1" customWidth="1"/>
    <col min="3085" max="3087" width="11.1328125" style="3" customWidth="1"/>
    <col min="3088" max="3304" width="11.40625" style="3" customWidth="1"/>
    <col min="3305" max="3305" width="19.86328125" style="3" customWidth="1"/>
    <col min="3306" max="3318" width="12.7265625" style="3" customWidth="1"/>
    <col min="3319" max="3330" width="15" style="3"/>
    <col min="3331" max="3331" width="15.26953125" style="3" bestFit="1" customWidth="1"/>
    <col min="3332" max="3334" width="11.1328125" style="3" customWidth="1"/>
    <col min="3335" max="3337" width="13.40625" style="3" customWidth="1"/>
    <col min="3338" max="3338" width="12.40625" style="3" bestFit="1" customWidth="1"/>
    <col min="3339" max="3339" width="11.1328125" style="3" customWidth="1"/>
    <col min="3340" max="3340" width="12.40625" style="3" bestFit="1" customWidth="1"/>
    <col min="3341" max="3343" width="11.1328125" style="3" customWidth="1"/>
    <col min="3344" max="3560" width="11.40625" style="3" customWidth="1"/>
    <col min="3561" max="3561" width="19.86328125" style="3" customWidth="1"/>
    <col min="3562" max="3574" width="12.7265625" style="3" customWidth="1"/>
    <col min="3575" max="3586" width="15" style="3"/>
    <col min="3587" max="3587" width="15.26953125" style="3" bestFit="1" customWidth="1"/>
    <col min="3588" max="3590" width="11.1328125" style="3" customWidth="1"/>
    <col min="3591" max="3593" width="13.40625" style="3" customWidth="1"/>
    <col min="3594" max="3594" width="12.40625" style="3" bestFit="1" customWidth="1"/>
    <col min="3595" max="3595" width="11.1328125" style="3" customWidth="1"/>
    <col min="3596" max="3596" width="12.40625" style="3" bestFit="1" customWidth="1"/>
    <col min="3597" max="3599" width="11.1328125" style="3" customWidth="1"/>
    <col min="3600" max="3816" width="11.40625" style="3" customWidth="1"/>
    <col min="3817" max="3817" width="19.86328125" style="3" customWidth="1"/>
    <col min="3818" max="3830" width="12.7265625" style="3" customWidth="1"/>
    <col min="3831" max="3842" width="15" style="3"/>
    <col min="3843" max="3843" width="15.26953125" style="3" bestFit="1" customWidth="1"/>
    <col min="3844" max="3846" width="11.1328125" style="3" customWidth="1"/>
    <col min="3847" max="3849" width="13.40625" style="3" customWidth="1"/>
    <col min="3850" max="3850" width="12.40625" style="3" bestFit="1" customWidth="1"/>
    <col min="3851" max="3851" width="11.1328125" style="3" customWidth="1"/>
    <col min="3852" max="3852" width="12.40625" style="3" bestFit="1" customWidth="1"/>
    <col min="3853" max="3855" width="11.1328125" style="3" customWidth="1"/>
    <col min="3856" max="4072" width="11.40625" style="3" customWidth="1"/>
    <col min="4073" max="4073" width="19.86328125" style="3" customWidth="1"/>
    <col min="4074" max="4086" width="12.7265625" style="3" customWidth="1"/>
    <col min="4087" max="4098" width="15" style="3"/>
    <col min="4099" max="4099" width="15.26953125" style="3" bestFit="1" customWidth="1"/>
    <col min="4100" max="4102" width="11.1328125" style="3" customWidth="1"/>
    <col min="4103" max="4105" width="13.40625" style="3" customWidth="1"/>
    <col min="4106" max="4106" width="12.40625" style="3" bestFit="1" customWidth="1"/>
    <col min="4107" max="4107" width="11.1328125" style="3" customWidth="1"/>
    <col min="4108" max="4108" width="12.40625" style="3" bestFit="1" customWidth="1"/>
    <col min="4109" max="4111" width="11.1328125" style="3" customWidth="1"/>
    <col min="4112" max="4328" width="11.40625" style="3" customWidth="1"/>
    <col min="4329" max="4329" width="19.86328125" style="3" customWidth="1"/>
    <col min="4330" max="4342" width="12.7265625" style="3" customWidth="1"/>
    <col min="4343" max="4354" width="15" style="3"/>
    <col min="4355" max="4355" width="15.26953125" style="3" bestFit="1" customWidth="1"/>
    <col min="4356" max="4358" width="11.1328125" style="3" customWidth="1"/>
    <col min="4359" max="4361" width="13.40625" style="3" customWidth="1"/>
    <col min="4362" max="4362" width="12.40625" style="3" bestFit="1" customWidth="1"/>
    <col min="4363" max="4363" width="11.1328125" style="3" customWidth="1"/>
    <col min="4364" max="4364" width="12.40625" style="3" bestFit="1" customWidth="1"/>
    <col min="4365" max="4367" width="11.1328125" style="3" customWidth="1"/>
    <col min="4368" max="4584" width="11.40625" style="3" customWidth="1"/>
    <col min="4585" max="4585" width="19.86328125" style="3" customWidth="1"/>
    <col min="4586" max="4598" width="12.7265625" style="3" customWidth="1"/>
    <col min="4599" max="4610" width="15" style="3"/>
    <col min="4611" max="4611" width="15.26953125" style="3" bestFit="1" customWidth="1"/>
    <col min="4612" max="4614" width="11.1328125" style="3" customWidth="1"/>
    <col min="4615" max="4617" width="13.40625" style="3" customWidth="1"/>
    <col min="4618" max="4618" width="12.40625" style="3" bestFit="1" customWidth="1"/>
    <col min="4619" max="4619" width="11.1328125" style="3" customWidth="1"/>
    <col min="4620" max="4620" width="12.40625" style="3" bestFit="1" customWidth="1"/>
    <col min="4621" max="4623" width="11.1328125" style="3" customWidth="1"/>
    <col min="4624" max="4840" width="11.40625" style="3" customWidth="1"/>
    <col min="4841" max="4841" width="19.86328125" style="3" customWidth="1"/>
    <col min="4842" max="4854" width="12.7265625" style="3" customWidth="1"/>
    <col min="4855" max="4866" width="15" style="3"/>
    <col min="4867" max="4867" width="15.26953125" style="3" bestFit="1" customWidth="1"/>
    <col min="4868" max="4870" width="11.1328125" style="3" customWidth="1"/>
    <col min="4871" max="4873" width="13.40625" style="3" customWidth="1"/>
    <col min="4874" max="4874" width="12.40625" style="3" bestFit="1" customWidth="1"/>
    <col min="4875" max="4875" width="11.1328125" style="3" customWidth="1"/>
    <col min="4876" max="4876" width="12.40625" style="3" bestFit="1" customWidth="1"/>
    <col min="4877" max="4879" width="11.1328125" style="3" customWidth="1"/>
    <col min="4880" max="5096" width="11.40625" style="3" customWidth="1"/>
    <col min="5097" max="5097" width="19.86328125" style="3" customWidth="1"/>
    <col min="5098" max="5110" width="12.7265625" style="3" customWidth="1"/>
    <col min="5111" max="5122" width="15" style="3"/>
    <col min="5123" max="5123" width="15.26953125" style="3" bestFit="1" customWidth="1"/>
    <col min="5124" max="5126" width="11.1328125" style="3" customWidth="1"/>
    <col min="5127" max="5129" width="13.40625" style="3" customWidth="1"/>
    <col min="5130" max="5130" width="12.40625" style="3" bestFit="1" customWidth="1"/>
    <col min="5131" max="5131" width="11.1328125" style="3" customWidth="1"/>
    <col min="5132" max="5132" width="12.40625" style="3" bestFit="1" customWidth="1"/>
    <col min="5133" max="5135" width="11.1328125" style="3" customWidth="1"/>
    <col min="5136" max="5352" width="11.40625" style="3" customWidth="1"/>
    <col min="5353" max="5353" width="19.86328125" style="3" customWidth="1"/>
    <col min="5354" max="5366" width="12.7265625" style="3" customWidth="1"/>
    <col min="5367" max="5378" width="15" style="3"/>
    <col min="5379" max="5379" width="15.26953125" style="3" bestFit="1" customWidth="1"/>
    <col min="5380" max="5382" width="11.1328125" style="3" customWidth="1"/>
    <col min="5383" max="5385" width="13.40625" style="3" customWidth="1"/>
    <col min="5386" max="5386" width="12.40625" style="3" bestFit="1" customWidth="1"/>
    <col min="5387" max="5387" width="11.1328125" style="3" customWidth="1"/>
    <col min="5388" max="5388" width="12.40625" style="3" bestFit="1" customWidth="1"/>
    <col min="5389" max="5391" width="11.1328125" style="3" customWidth="1"/>
    <col min="5392" max="5608" width="11.40625" style="3" customWidth="1"/>
    <col min="5609" max="5609" width="19.86328125" style="3" customWidth="1"/>
    <col min="5610" max="5622" width="12.7265625" style="3" customWidth="1"/>
    <col min="5623" max="5634" width="15" style="3"/>
    <col min="5635" max="5635" width="15.26953125" style="3" bestFit="1" customWidth="1"/>
    <col min="5636" max="5638" width="11.1328125" style="3" customWidth="1"/>
    <col min="5639" max="5641" width="13.40625" style="3" customWidth="1"/>
    <col min="5642" max="5642" width="12.40625" style="3" bestFit="1" customWidth="1"/>
    <col min="5643" max="5643" width="11.1328125" style="3" customWidth="1"/>
    <col min="5644" max="5644" width="12.40625" style="3" bestFit="1" customWidth="1"/>
    <col min="5645" max="5647" width="11.1328125" style="3" customWidth="1"/>
    <col min="5648" max="5864" width="11.40625" style="3" customWidth="1"/>
    <col min="5865" max="5865" width="19.86328125" style="3" customWidth="1"/>
    <col min="5866" max="5878" width="12.7265625" style="3" customWidth="1"/>
    <col min="5879" max="5890" width="15" style="3"/>
    <col min="5891" max="5891" width="15.26953125" style="3" bestFit="1" customWidth="1"/>
    <col min="5892" max="5894" width="11.1328125" style="3" customWidth="1"/>
    <col min="5895" max="5897" width="13.40625" style="3" customWidth="1"/>
    <col min="5898" max="5898" width="12.40625" style="3" bestFit="1" customWidth="1"/>
    <col min="5899" max="5899" width="11.1328125" style="3" customWidth="1"/>
    <col min="5900" max="5900" width="12.40625" style="3" bestFit="1" customWidth="1"/>
    <col min="5901" max="5903" width="11.1328125" style="3" customWidth="1"/>
    <col min="5904" max="6120" width="11.40625" style="3" customWidth="1"/>
    <col min="6121" max="6121" width="19.86328125" style="3" customWidth="1"/>
    <col min="6122" max="6134" width="12.7265625" style="3" customWidth="1"/>
    <col min="6135" max="6146" width="15" style="3"/>
    <col min="6147" max="6147" width="15.26953125" style="3" bestFit="1" customWidth="1"/>
    <col min="6148" max="6150" width="11.1328125" style="3" customWidth="1"/>
    <col min="6151" max="6153" width="13.40625" style="3" customWidth="1"/>
    <col min="6154" max="6154" width="12.40625" style="3" bestFit="1" customWidth="1"/>
    <col min="6155" max="6155" width="11.1328125" style="3" customWidth="1"/>
    <col min="6156" max="6156" width="12.40625" style="3" bestFit="1" customWidth="1"/>
    <col min="6157" max="6159" width="11.1328125" style="3" customWidth="1"/>
    <col min="6160" max="6376" width="11.40625" style="3" customWidth="1"/>
    <col min="6377" max="6377" width="19.86328125" style="3" customWidth="1"/>
    <col min="6378" max="6390" width="12.7265625" style="3" customWidth="1"/>
    <col min="6391" max="6402" width="15" style="3"/>
    <col min="6403" max="6403" width="15.26953125" style="3" bestFit="1" customWidth="1"/>
    <col min="6404" max="6406" width="11.1328125" style="3" customWidth="1"/>
    <col min="6407" max="6409" width="13.40625" style="3" customWidth="1"/>
    <col min="6410" max="6410" width="12.40625" style="3" bestFit="1" customWidth="1"/>
    <col min="6411" max="6411" width="11.1328125" style="3" customWidth="1"/>
    <col min="6412" max="6412" width="12.40625" style="3" bestFit="1" customWidth="1"/>
    <col min="6413" max="6415" width="11.1328125" style="3" customWidth="1"/>
    <col min="6416" max="6632" width="11.40625" style="3" customWidth="1"/>
    <col min="6633" max="6633" width="19.86328125" style="3" customWidth="1"/>
    <col min="6634" max="6646" width="12.7265625" style="3" customWidth="1"/>
    <col min="6647" max="6658" width="15" style="3"/>
    <col min="6659" max="6659" width="15.26953125" style="3" bestFit="1" customWidth="1"/>
    <col min="6660" max="6662" width="11.1328125" style="3" customWidth="1"/>
    <col min="6663" max="6665" width="13.40625" style="3" customWidth="1"/>
    <col min="6666" max="6666" width="12.40625" style="3" bestFit="1" customWidth="1"/>
    <col min="6667" max="6667" width="11.1328125" style="3" customWidth="1"/>
    <col min="6668" max="6668" width="12.40625" style="3" bestFit="1" customWidth="1"/>
    <col min="6669" max="6671" width="11.1328125" style="3" customWidth="1"/>
    <col min="6672" max="6888" width="11.40625" style="3" customWidth="1"/>
    <col min="6889" max="6889" width="19.86328125" style="3" customWidth="1"/>
    <col min="6890" max="6902" width="12.7265625" style="3" customWidth="1"/>
    <col min="6903" max="6914" width="15" style="3"/>
    <col min="6915" max="6915" width="15.26953125" style="3" bestFit="1" customWidth="1"/>
    <col min="6916" max="6918" width="11.1328125" style="3" customWidth="1"/>
    <col min="6919" max="6921" width="13.40625" style="3" customWidth="1"/>
    <col min="6922" max="6922" width="12.40625" style="3" bestFit="1" customWidth="1"/>
    <col min="6923" max="6923" width="11.1328125" style="3" customWidth="1"/>
    <col min="6924" max="6924" width="12.40625" style="3" bestFit="1" customWidth="1"/>
    <col min="6925" max="6927" width="11.1328125" style="3" customWidth="1"/>
    <col min="6928" max="7144" width="11.40625" style="3" customWidth="1"/>
    <col min="7145" max="7145" width="19.86328125" style="3" customWidth="1"/>
    <col min="7146" max="7158" width="12.7265625" style="3" customWidth="1"/>
    <col min="7159" max="7170" width="15" style="3"/>
    <col min="7171" max="7171" width="15.26953125" style="3" bestFit="1" customWidth="1"/>
    <col min="7172" max="7174" width="11.1328125" style="3" customWidth="1"/>
    <col min="7175" max="7177" width="13.40625" style="3" customWidth="1"/>
    <col min="7178" max="7178" width="12.40625" style="3" bestFit="1" customWidth="1"/>
    <col min="7179" max="7179" width="11.1328125" style="3" customWidth="1"/>
    <col min="7180" max="7180" width="12.40625" style="3" bestFit="1" customWidth="1"/>
    <col min="7181" max="7183" width="11.1328125" style="3" customWidth="1"/>
    <col min="7184" max="7400" width="11.40625" style="3" customWidth="1"/>
    <col min="7401" max="7401" width="19.86328125" style="3" customWidth="1"/>
    <col min="7402" max="7414" width="12.7265625" style="3" customWidth="1"/>
    <col min="7415" max="7426" width="15" style="3"/>
    <col min="7427" max="7427" width="15.26953125" style="3" bestFit="1" customWidth="1"/>
    <col min="7428" max="7430" width="11.1328125" style="3" customWidth="1"/>
    <col min="7431" max="7433" width="13.40625" style="3" customWidth="1"/>
    <col min="7434" max="7434" width="12.40625" style="3" bestFit="1" customWidth="1"/>
    <col min="7435" max="7435" width="11.1328125" style="3" customWidth="1"/>
    <col min="7436" max="7436" width="12.40625" style="3" bestFit="1" customWidth="1"/>
    <col min="7437" max="7439" width="11.1328125" style="3" customWidth="1"/>
    <col min="7440" max="7656" width="11.40625" style="3" customWidth="1"/>
    <col min="7657" max="7657" width="19.86328125" style="3" customWidth="1"/>
    <col min="7658" max="7670" width="12.7265625" style="3" customWidth="1"/>
    <col min="7671" max="7682" width="15" style="3"/>
    <col min="7683" max="7683" width="15.26953125" style="3" bestFit="1" customWidth="1"/>
    <col min="7684" max="7686" width="11.1328125" style="3" customWidth="1"/>
    <col min="7687" max="7689" width="13.40625" style="3" customWidth="1"/>
    <col min="7690" max="7690" width="12.40625" style="3" bestFit="1" customWidth="1"/>
    <col min="7691" max="7691" width="11.1328125" style="3" customWidth="1"/>
    <col min="7692" max="7692" width="12.40625" style="3" bestFit="1" customWidth="1"/>
    <col min="7693" max="7695" width="11.1328125" style="3" customWidth="1"/>
    <col min="7696" max="7912" width="11.40625" style="3" customWidth="1"/>
    <col min="7913" max="7913" width="19.86328125" style="3" customWidth="1"/>
    <col min="7914" max="7926" width="12.7265625" style="3" customWidth="1"/>
    <col min="7927" max="7938" width="15" style="3"/>
    <col min="7939" max="7939" width="15.26953125" style="3" bestFit="1" customWidth="1"/>
    <col min="7940" max="7942" width="11.1328125" style="3" customWidth="1"/>
    <col min="7943" max="7945" width="13.40625" style="3" customWidth="1"/>
    <col min="7946" max="7946" width="12.40625" style="3" bestFit="1" customWidth="1"/>
    <col min="7947" max="7947" width="11.1328125" style="3" customWidth="1"/>
    <col min="7948" max="7948" width="12.40625" style="3" bestFit="1" customWidth="1"/>
    <col min="7949" max="7951" width="11.1328125" style="3" customWidth="1"/>
    <col min="7952" max="8168" width="11.40625" style="3" customWidth="1"/>
    <col min="8169" max="8169" width="19.86328125" style="3" customWidth="1"/>
    <col min="8170" max="8182" width="12.7265625" style="3" customWidth="1"/>
    <col min="8183" max="8194" width="15" style="3"/>
    <col min="8195" max="8195" width="15.26953125" style="3" bestFit="1" customWidth="1"/>
    <col min="8196" max="8198" width="11.1328125" style="3" customWidth="1"/>
    <col min="8199" max="8201" width="13.40625" style="3" customWidth="1"/>
    <col min="8202" max="8202" width="12.40625" style="3" bestFit="1" customWidth="1"/>
    <col min="8203" max="8203" width="11.1328125" style="3" customWidth="1"/>
    <col min="8204" max="8204" width="12.40625" style="3" bestFit="1" customWidth="1"/>
    <col min="8205" max="8207" width="11.1328125" style="3" customWidth="1"/>
    <col min="8208" max="8424" width="11.40625" style="3" customWidth="1"/>
    <col min="8425" max="8425" width="19.86328125" style="3" customWidth="1"/>
    <col min="8426" max="8438" width="12.7265625" style="3" customWidth="1"/>
    <col min="8439" max="8450" width="15" style="3"/>
    <col min="8451" max="8451" width="15.26953125" style="3" bestFit="1" customWidth="1"/>
    <col min="8452" max="8454" width="11.1328125" style="3" customWidth="1"/>
    <col min="8455" max="8457" width="13.40625" style="3" customWidth="1"/>
    <col min="8458" max="8458" width="12.40625" style="3" bestFit="1" customWidth="1"/>
    <col min="8459" max="8459" width="11.1328125" style="3" customWidth="1"/>
    <col min="8460" max="8460" width="12.40625" style="3" bestFit="1" customWidth="1"/>
    <col min="8461" max="8463" width="11.1328125" style="3" customWidth="1"/>
    <col min="8464" max="8680" width="11.40625" style="3" customWidth="1"/>
    <col min="8681" max="8681" width="19.86328125" style="3" customWidth="1"/>
    <col min="8682" max="8694" width="12.7265625" style="3" customWidth="1"/>
    <col min="8695" max="8706" width="15" style="3"/>
    <col min="8707" max="8707" width="15.26953125" style="3" bestFit="1" customWidth="1"/>
    <col min="8708" max="8710" width="11.1328125" style="3" customWidth="1"/>
    <col min="8711" max="8713" width="13.40625" style="3" customWidth="1"/>
    <col min="8714" max="8714" width="12.40625" style="3" bestFit="1" customWidth="1"/>
    <col min="8715" max="8715" width="11.1328125" style="3" customWidth="1"/>
    <col min="8716" max="8716" width="12.40625" style="3" bestFit="1" customWidth="1"/>
    <col min="8717" max="8719" width="11.1328125" style="3" customWidth="1"/>
    <col min="8720" max="8936" width="11.40625" style="3" customWidth="1"/>
    <col min="8937" max="8937" width="19.86328125" style="3" customWidth="1"/>
    <col min="8938" max="8950" width="12.7265625" style="3" customWidth="1"/>
    <col min="8951" max="8962" width="15" style="3"/>
    <col min="8963" max="8963" width="15.26953125" style="3" bestFit="1" customWidth="1"/>
    <col min="8964" max="8966" width="11.1328125" style="3" customWidth="1"/>
    <col min="8967" max="8969" width="13.40625" style="3" customWidth="1"/>
    <col min="8970" max="8970" width="12.40625" style="3" bestFit="1" customWidth="1"/>
    <col min="8971" max="8971" width="11.1328125" style="3" customWidth="1"/>
    <col min="8972" max="8972" width="12.40625" style="3" bestFit="1" customWidth="1"/>
    <col min="8973" max="8975" width="11.1328125" style="3" customWidth="1"/>
    <col min="8976" max="9192" width="11.40625" style="3" customWidth="1"/>
    <col min="9193" max="9193" width="19.86328125" style="3" customWidth="1"/>
    <col min="9194" max="9206" width="12.7265625" style="3" customWidth="1"/>
    <col min="9207" max="9218" width="15" style="3"/>
    <col min="9219" max="9219" width="15.26953125" style="3" bestFit="1" customWidth="1"/>
    <col min="9220" max="9222" width="11.1328125" style="3" customWidth="1"/>
    <col min="9223" max="9225" width="13.40625" style="3" customWidth="1"/>
    <col min="9226" max="9226" width="12.40625" style="3" bestFit="1" customWidth="1"/>
    <col min="9227" max="9227" width="11.1328125" style="3" customWidth="1"/>
    <col min="9228" max="9228" width="12.40625" style="3" bestFit="1" customWidth="1"/>
    <col min="9229" max="9231" width="11.1328125" style="3" customWidth="1"/>
    <col min="9232" max="9448" width="11.40625" style="3" customWidth="1"/>
    <col min="9449" max="9449" width="19.86328125" style="3" customWidth="1"/>
    <col min="9450" max="9462" width="12.7265625" style="3" customWidth="1"/>
    <col min="9463" max="9474" width="15" style="3"/>
    <col min="9475" max="9475" width="15.26953125" style="3" bestFit="1" customWidth="1"/>
    <col min="9476" max="9478" width="11.1328125" style="3" customWidth="1"/>
    <col min="9479" max="9481" width="13.40625" style="3" customWidth="1"/>
    <col min="9482" max="9482" width="12.40625" style="3" bestFit="1" customWidth="1"/>
    <col min="9483" max="9483" width="11.1328125" style="3" customWidth="1"/>
    <col min="9484" max="9484" width="12.40625" style="3" bestFit="1" customWidth="1"/>
    <col min="9485" max="9487" width="11.1328125" style="3" customWidth="1"/>
    <col min="9488" max="9704" width="11.40625" style="3" customWidth="1"/>
    <col min="9705" max="9705" width="19.86328125" style="3" customWidth="1"/>
    <col min="9706" max="9718" width="12.7265625" style="3" customWidth="1"/>
    <col min="9719" max="9730" width="15" style="3"/>
    <col min="9731" max="9731" width="15.26953125" style="3" bestFit="1" customWidth="1"/>
    <col min="9732" max="9734" width="11.1328125" style="3" customWidth="1"/>
    <col min="9735" max="9737" width="13.40625" style="3" customWidth="1"/>
    <col min="9738" max="9738" width="12.40625" style="3" bestFit="1" customWidth="1"/>
    <col min="9739" max="9739" width="11.1328125" style="3" customWidth="1"/>
    <col min="9740" max="9740" width="12.40625" style="3" bestFit="1" customWidth="1"/>
    <col min="9741" max="9743" width="11.1328125" style="3" customWidth="1"/>
    <col min="9744" max="9960" width="11.40625" style="3" customWidth="1"/>
    <col min="9961" max="9961" width="19.86328125" style="3" customWidth="1"/>
    <col min="9962" max="9974" width="12.7265625" style="3" customWidth="1"/>
    <col min="9975" max="9986" width="15" style="3"/>
    <col min="9987" max="9987" width="15.26953125" style="3" bestFit="1" customWidth="1"/>
    <col min="9988" max="9990" width="11.1328125" style="3" customWidth="1"/>
    <col min="9991" max="9993" width="13.40625" style="3" customWidth="1"/>
    <col min="9994" max="9994" width="12.40625" style="3" bestFit="1" customWidth="1"/>
    <col min="9995" max="9995" width="11.1328125" style="3" customWidth="1"/>
    <col min="9996" max="9996" width="12.40625" style="3" bestFit="1" customWidth="1"/>
    <col min="9997" max="9999" width="11.1328125" style="3" customWidth="1"/>
    <col min="10000" max="10216" width="11.40625" style="3" customWidth="1"/>
    <col min="10217" max="10217" width="19.86328125" style="3" customWidth="1"/>
    <col min="10218" max="10230" width="12.7265625" style="3" customWidth="1"/>
    <col min="10231" max="10242" width="15" style="3"/>
    <col min="10243" max="10243" width="15.26953125" style="3" bestFit="1" customWidth="1"/>
    <col min="10244" max="10246" width="11.1328125" style="3" customWidth="1"/>
    <col min="10247" max="10249" width="13.40625" style="3" customWidth="1"/>
    <col min="10250" max="10250" width="12.40625" style="3" bestFit="1" customWidth="1"/>
    <col min="10251" max="10251" width="11.1328125" style="3" customWidth="1"/>
    <col min="10252" max="10252" width="12.40625" style="3" bestFit="1" customWidth="1"/>
    <col min="10253" max="10255" width="11.1328125" style="3" customWidth="1"/>
    <col min="10256" max="10472" width="11.40625" style="3" customWidth="1"/>
    <col min="10473" max="10473" width="19.86328125" style="3" customWidth="1"/>
    <col min="10474" max="10486" width="12.7265625" style="3" customWidth="1"/>
    <col min="10487" max="10498" width="15" style="3"/>
    <col min="10499" max="10499" width="15.26953125" style="3" bestFit="1" customWidth="1"/>
    <col min="10500" max="10502" width="11.1328125" style="3" customWidth="1"/>
    <col min="10503" max="10505" width="13.40625" style="3" customWidth="1"/>
    <col min="10506" max="10506" width="12.40625" style="3" bestFit="1" customWidth="1"/>
    <col min="10507" max="10507" width="11.1328125" style="3" customWidth="1"/>
    <col min="10508" max="10508" width="12.40625" style="3" bestFit="1" customWidth="1"/>
    <col min="10509" max="10511" width="11.1328125" style="3" customWidth="1"/>
    <col min="10512" max="10728" width="11.40625" style="3" customWidth="1"/>
    <col min="10729" max="10729" width="19.86328125" style="3" customWidth="1"/>
    <col min="10730" max="10742" width="12.7265625" style="3" customWidth="1"/>
    <col min="10743" max="10754" width="15" style="3"/>
    <col min="10755" max="10755" width="15.26953125" style="3" bestFit="1" customWidth="1"/>
    <col min="10756" max="10758" width="11.1328125" style="3" customWidth="1"/>
    <col min="10759" max="10761" width="13.40625" style="3" customWidth="1"/>
    <col min="10762" max="10762" width="12.40625" style="3" bestFit="1" customWidth="1"/>
    <col min="10763" max="10763" width="11.1328125" style="3" customWidth="1"/>
    <col min="10764" max="10764" width="12.40625" style="3" bestFit="1" customWidth="1"/>
    <col min="10765" max="10767" width="11.1328125" style="3" customWidth="1"/>
    <col min="10768" max="10984" width="11.40625" style="3" customWidth="1"/>
    <col min="10985" max="10985" width="19.86328125" style="3" customWidth="1"/>
    <col min="10986" max="10998" width="12.7265625" style="3" customWidth="1"/>
    <col min="10999" max="11010" width="15" style="3"/>
    <col min="11011" max="11011" width="15.26953125" style="3" bestFit="1" customWidth="1"/>
    <col min="11012" max="11014" width="11.1328125" style="3" customWidth="1"/>
    <col min="11015" max="11017" width="13.40625" style="3" customWidth="1"/>
    <col min="11018" max="11018" width="12.40625" style="3" bestFit="1" customWidth="1"/>
    <col min="11019" max="11019" width="11.1328125" style="3" customWidth="1"/>
    <col min="11020" max="11020" width="12.40625" style="3" bestFit="1" customWidth="1"/>
    <col min="11021" max="11023" width="11.1328125" style="3" customWidth="1"/>
    <col min="11024" max="11240" width="11.40625" style="3" customWidth="1"/>
    <col min="11241" max="11241" width="19.86328125" style="3" customWidth="1"/>
    <col min="11242" max="11254" width="12.7265625" style="3" customWidth="1"/>
    <col min="11255" max="11266" width="15" style="3"/>
    <col min="11267" max="11267" width="15.26953125" style="3" bestFit="1" customWidth="1"/>
    <col min="11268" max="11270" width="11.1328125" style="3" customWidth="1"/>
    <col min="11271" max="11273" width="13.40625" style="3" customWidth="1"/>
    <col min="11274" max="11274" width="12.40625" style="3" bestFit="1" customWidth="1"/>
    <col min="11275" max="11275" width="11.1328125" style="3" customWidth="1"/>
    <col min="11276" max="11276" width="12.40625" style="3" bestFit="1" customWidth="1"/>
    <col min="11277" max="11279" width="11.1328125" style="3" customWidth="1"/>
    <col min="11280" max="11496" width="11.40625" style="3" customWidth="1"/>
    <col min="11497" max="11497" width="19.86328125" style="3" customWidth="1"/>
    <col min="11498" max="11510" width="12.7265625" style="3" customWidth="1"/>
    <col min="11511" max="11522" width="15" style="3"/>
    <col min="11523" max="11523" width="15.26953125" style="3" bestFit="1" customWidth="1"/>
    <col min="11524" max="11526" width="11.1328125" style="3" customWidth="1"/>
    <col min="11527" max="11529" width="13.40625" style="3" customWidth="1"/>
    <col min="11530" max="11530" width="12.40625" style="3" bestFit="1" customWidth="1"/>
    <col min="11531" max="11531" width="11.1328125" style="3" customWidth="1"/>
    <col min="11532" max="11532" width="12.40625" style="3" bestFit="1" customWidth="1"/>
    <col min="11533" max="11535" width="11.1328125" style="3" customWidth="1"/>
    <col min="11536" max="11752" width="11.40625" style="3" customWidth="1"/>
    <col min="11753" max="11753" width="19.86328125" style="3" customWidth="1"/>
    <col min="11754" max="11766" width="12.7265625" style="3" customWidth="1"/>
    <col min="11767" max="11778" width="15" style="3"/>
    <col min="11779" max="11779" width="15.26953125" style="3" bestFit="1" customWidth="1"/>
    <col min="11780" max="11782" width="11.1328125" style="3" customWidth="1"/>
    <col min="11783" max="11785" width="13.40625" style="3" customWidth="1"/>
    <col min="11786" max="11786" width="12.40625" style="3" bestFit="1" customWidth="1"/>
    <col min="11787" max="11787" width="11.1328125" style="3" customWidth="1"/>
    <col min="11788" max="11788" width="12.40625" style="3" bestFit="1" customWidth="1"/>
    <col min="11789" max="11791" width="11.1328125" style="3" customWidth="1"/>
    <col min="11792" max="12008" width="11.40625" style="3" customWidth="1"/>
    <col min="12009" max="12009" width="19.86328125" style="3" customWidth="1"/>
    <col min="12010" max="12022" width="12.7265625" style="3" customWidth="1"/>
    <col min="12023" max="12034" width="15" style="3"/>
    <col min="12035" max="12035" width="15.26953125" style="3" bestFit="1" customWidth="1"/>
    <col min="12036" max="12038" width="11.1328125" style="3" customWidth="1"/>
    <col min="12039" max="12041" width="13.40625" style="3" customWidth="1"/>
    <col min="12042" max="12042" width="12.40625" style="3" bestFit="1" customWidth="1"/>
    <col min="12043" max="12043" width="11.1328125" style="3" customWidth="1"/>
    <col min="12044" max="12044" width="12.40625" style="3" bestFit="1" customWidth="1"/>
    <col min="12045" max="12047" width="11.1328125" style="3" customWidth="1"/>
    <col min="12048" max="12264" width="11.40625" style="3" customWidth="1"/>
    <col min="12265" max="12265" width="19.86328125" style="3" customWidth="1"/>
    <col min="12266" max="12278" width="12.7265625" style="3" customWidth="1"/>
    <col min="12279" max="12290" width="15" style="3"/>
    <col min="12291" max="12291" width="15.26953125" style="3" bestFit="1" customWidth="1"/>
    <col min="12292" max="12294" width="11.1328125" style="3" customWidth="1"/>
    <col min="12295" max="12297" width="13.40625" style="3" customWidth="1"/>
    <col min="12298" max="12298" width="12.40625" style="3" bestFit="1" customWidth="1"/>
    <col min="12299" max="12299" width="11.1328125" style="3" customWidth="1"/>
    <col min="12300" max="12300" width="12.40625" style="3" bestFit="1" customWidth="1"/>
    <col min="12301" max="12303" width="11.1328125" style="3" customWidth="1"/>
    <col min="12304" max="12520" width="11.40625" style="3" customWidth="1"/>
    <col min="12521" max="12521" width="19.86328125" style="3" customWidth="1"/>
    <col min="12522" max="12534" width="12.7265625" style="3" customWidth="1"/>
    <col min="12535" max="12546" width="15" style="3"/>
    <col min="12547" max="12547" width="15.26953125" style="3" bestFit="1" customWidth="1"/>
    <col min="12548" max="12550" width="11.1328125" style="3" customWidth="1"/>
    <col min="12551" max="12553" width="13.40625" style="3" customWidth="1"/>
    <col min="12554" max="12554" width="12.40625" style="3" bestFit="1" customWidth="1"/>
    <col min="12555" max="12555" width="11.1328125" style="3" customWidth="1"/>
    <col min="12556" max="12556" width="12.40625" style="3" bestFit="1" customWidth="1"/>
    <col min="12557" max="12559" width="11.1328125" style="3" customWidth="1"/>
    <col min="12560" max="12776" width="11.40625" style="3" customWidth="1"/>
    <col min="12777" max="12777" width="19.86328125" style="3" customWidth="1"/>
    <col min="12778" max="12790" width="12.7265625" style="3" customWidth="1"/>
    <col min="12791" max="12802" width="15" style="3"/>
    <col min="12803" max="12803" width="15.26953125" style="3" bestFit="1" customWidth="1"/>
    <col min="12804" max="12806" width="11.1328125" style="3" customWidth="1"/>
    <col min="12807" max="12809" width="13.40625" style="3" customWidth="1"/>
    <col min="12810" max="12810" width="12.40625" style="3" bestFit="1" customWidth="1"/>
    <col min="12811" max="12811" width="11.1328125" style="3" customWidth="1"/>
    <col min="12812" max="12812" width="12.40625" style="3" bestFit="1" customWidth="1"/>
    <col min="12813" max="12815" width="11.1328125" style="3" customWidth="1"/>
    <col min="12816" max="13032" width="11.40625" style="3" customWidth="1"/>
    <col min="13033" max="13033" width="19.86328125" style="3" customWidth="1"/>
    <col min="13034" max="13046" width="12.7265625" style="3" customWidth="1"/>
    <col min="13047" max="13058" width="15" style="3"/>
    <col min="13059" max="13059" width="15.26953125" style="3" bestFit="1" customWidth="1"/>
    <col min="13060" max="13062" width="11.1328125" style="3" customWidth="1"/>
    <col min="13063" max="13065" width="13.40625" style="3" customWidth="1"/>
    <col min="13066" max="13066" width="12.40625" style="3" bestFit="1" customWidth="1"/>
    <col min="13067" max="13067" width="11.1328125" style="3" customWidth="1"/>
    <col min="13068" max="13068" width="12.40625" style="3" bestFit="1" customWidth="1"/>
    <col min="13069" max="13071" width="11.1328125" style="3" customWidth="1"/>
    <col min="13072" max="13288" width="11.40625" style="3" customWidth="1"/>
    <col min="13289" max="13289" width="19.86328125" style="3" customWidth="1"/>
    <col min="13290" max="13302" width="12.7265625" style="3" customWidth="1"/>
    <col min="13303" max="13314" width="15" style="3"/>
    <col min="13315" max="13315" width="15.26953125" style="3" bestFit="1" customWidth="1"/>
    <col min="13316" max="13318" width="11.1328125" style="3" customWidth="1"/>
    <col min="13319" max="13321" width="13.40625" style="3" customWidth="1"/>
    <col min="13322" max="13322" width="12.40625" style="3" bestFit="1" customWidth="1"/>
    <col min="13323" max="13323" width="11.1328125" style="3" customWidth="1"/>
    <col min="13324" max="13324" width="12.40625" style="3" bestFit="1" customWidth="1"/>
    <col min="13325" max="13327" width="11.1328125" style="3" customWidth="1"/>
    <col min="13328" max="13544" width="11.40625" style="3" customWidth="1"/>
    <col min="13545" max="13545" width="19.86328125" style="3" customWidth="1"/>
    <col min="13546" max="13558" width="12.7265625" style="3" customWidth="1"/>
    <col min="13559" max="13570" width="15" style="3"/>
    <col min="13571" max="13571" width="15.26953125" style="3" bestFit="1" customWidth="1"/>
    <col min="13572" max="13574" width="11.1328125" style="3" customWidth="1"/>
    <col min="13575" max="13577" width="13.40625" style="3" customWidth="1"/>
    <col min="13578" max="13578" width="12.40625" style="3" bestFit="1" customWidth="1"/>
    <col min="13579" max="13579" width="11.1328125" style="3" customWidth="1"/>
    <col min="13580" max="13580" width="12.40625" style="3" bestFit="1" customWidth="1"/>
    <col min="13581" max="13583" width="11.1328125" style="3" customWidth="1"/>
    <col min="13584" max="13800" width="11.40625" style="3" customWidth="1"/>
    <col min="13801" max="13801" width="19.86328125" style="3" customWidth="1"/>
    <col min="13802" max="13814" width="12.7265625" style="3" customWidth="1"/>
    <col min="13815" max="13826" width="15" style="3"/>
    <col min="13827" max="13827" width="15.26953125" style="3" bestFit="1" customWidth="1"/>
    <col min="13828" max="13830" width="11.1328125" style="3" customWidth="1"/>
    <col min="13831" max="13833" width="13.40625" style="3" customWidth="1"/>
    <col min="13834" max="13834" width="12.40625" style="3" bestFit="1" customWidth="1"/>
    <col min="13835" max="13835" width="11.1328125" style="3" customWidth="1"/>
    <col min="13836" max="13836" width="12.40625" style="3" bestFit="1" customWidth="1"/>
    <col min="13837" max="13839" width="11.1328125" style="3" customWidth="1"/>
    <col min="13840" max="14056" width="11.40625" style="3" customWidth="1"/>
    <col min="14057" max="14057" width="19.86328125" style="3" customWidth="1"/>
    <col min="14058" max="14070" width="12.7265625" style="3" customWidth="1"/>
    <col min="14071" max="14082" width="15" style="3"/>
    <col min="14083" max="14083" width="15.26953125" style="3" bestFit="1" customWidth="1"/>
    <col min="14084" max="14086" width="11.1328125" style="3" customWidth="1"/>
    <col min="14087" max="14089" width="13.40625" style="3" customWidth="1"/>
    <col min="14090" max="14090" width="12.40625" style="3" bestFit="1" customWidth="1"/>
    <col min="14091" max="14091" width="11.1328125" style="3" customWidth="1"/>
    <col min="14092" max="14092" width="12.40625" style="3" bestFit="1" customWidth="1"/>
    <col min="14093" max="14095" width="11.1328125" style="3" customWidth="1"/>
    <col min="14096" max="14312" width="11.40625" style="3" customWidth="1"/>
    <col min="14313" max="14313" width="19.86328125" style="3" customWidth="1"/>
    <col min="14314" max="14326" width="12.7265625" style="3" customWidth="1"/>
    <col min="14327" max="14338" width="15" style="3"/>
    <col min="14339" max="14339" width="15.26953125" style="3" bestFit="1" customWidth="1"/>
    <col min="14340" max="14342" width="11.1328125" style="3" customWidth="1"/>
    <col min="14343" max="14345" width="13.40625" style="3" customWidth="1"/>
    <col min="14346" max="14346" width="12.40625" style="3" bestFit="1" customWidth="1"/>
    <col min="14347" max="14347" width="11.1328125" style="3" customWidth="1"/>
    <col min="14348" max="14348" width="12.40625" style="3" bestFit="1" customWidth="1"/>
    <col min="14349" max="14351" width="11.1328125" style="3" customWidth="1"/>
    <col min="14352" max="14568" width="11.40625" style="3" customWidth="1"/>
    <col min="14569" max="14569" width="19.86328125" style="3" customWidth="1"/>
    <col min="14570" max="14582" width="12.7265625" style="3" customWidth="1"/>
    <col min="14583" max="14594" width="15" style="3"/>
    <col min="14595" max="14595" width="15.26953125" style="3" bestFit="1" customWidth="1"/>
    <col min="14596" max="14598" width="11.1328125" style="3" customWidth="1"/>
    <col min="14599" max="14601" width="13.40625" style="3" customWidth="1"/>
    <col min="14602" max="14602" width="12.40625" style="3" bestFit="1" customWidth="1"/>
    <col min="14603" max="14603" width="11.1328125" style="3" customWidth="1"/>
    <col min="14604" max="14604" width="12.40625" style="3" bestFit="1" customWidth="1"/>
    <col min="14605" max="14607" width="11.1328125" style="3" customWidth="1"/>
    <col min="14608" max="14824" width="11.40625" style="3" customWidth="1"/>
    <col min="14825" max="14825" width="19.86328125" style="3" customWidth="1"/>
    <col min="14826" max="14838" width="12.7265625" style="3" customWidth="1"/>
    <col min="14839" max="14850" width="15" style="3"/>
    <col min="14851" max="14851" width="15.26953125" style="3" bestFit="1" customWidth="1"/>
    <col min="14852" max="14854" width="11.1328125" style="3" customWidth="1"/>
    <col min="14855" max="14857" width="13.40625" style="3" customWidth="1"/>
    <col min="14858" max="14858" width="12.40625" style="3" bestFit="1" customWidth="1"/>
    <col min="14859" max="14859" width="11.1328125" style="3" customWidth="1"/>
    <col min="14860" max="14860" width="12.40625" style="3" bestFit="1" customWidth="1"/>
    <col min="14861" max="14863" width="11.1328125" style="3" customWidth="1"/>
    <col min="14864" max="15080" width="11.40625" style="3" customWidth="1"/>
    <col min="15081" max="15081" width="19.86328125" style="3" customWidth="1"/>
    <col min="15082" max="15094" width="12.7265625" style="3" customWidth="1"/>
    <col min="15095" max="15106" width="15" style="3"/>
    <col min="15107" max="15107" width="15.26953125" style="3" bestFit="1" customWidth="1"/>
    <col min="15108" max="15110" width="11.1328125" style="3" customWidth="1"/>
    <col min="15111" max="15113" width="13.40625" style="3" customWidth="1"/>
    <col min="15114" max="15114" width="12.40625" style="3" bestFit="1" customWidth="1"/>
    <col min="15115" max="15115" width="11.1328125" style="3" customWidth="1"/>
    <col min="15116" max="15116" width="12.40625" style="3" bestFit="1" customWidth="1"/>
    <col min="15117" max="15119" width="11.1328125" style="3" customWidth="1"/>
    <col min="15120" max="15336" width="11.40625" style="3" customWidth="1"/>
    <col min="15337" max="15337" width="19.86328125" style="3" customWidth="1"/>
    <col min="15338" max="15350" width="12.7265625" style="3" customWidth="1"/>
    <col min="15351" max="15362" width="15" style="3"/>
    <col min="15363" max="15363" width="15.26953125" style="3" bestFit="1" customWidth="1"/>
    <col min="15364" max="15366" width="11.1328125" style="3" customWidth="1"/>
    <col min="15367" max="15369" width="13.40625" style="3" customWidth="1"/>
    <col min="15370" max="15370" width="12.40625" style="3" bestFit="1" customWidth="1"/>
    <col min="15371" max="15371" width="11.1328125" style="3" customWidth="1"/>
    <col min="15372" max="15372" width="12.40625" style="3" bestFit="1" customWidth="1"/>
    <col min="15373" max="15375" width="11.1328125" style="3" customWidth="1"/>
    <col min="15376" max="15592" width="11.40625" style="3" customWidth="1"/>
    <col min="15593" max="15593" width="19.86328125" style="3" customWidth="1"/>
    <col min="15594" max="15606" width="12.7265625" style="3" customWidth="1"/>
    <col min="15607" max="15618" width="15" style="3"/>
    <col min="15619" max="15619" width="15.26953125" style="3" bestFit="1" customWidth="1"/>
    <col min="15620" max="15622" width="11.1328125" style="3" customWidth="1"/>
    <col min="15623" max="15625" width="13.40625" style="3" customWidth="1"/>
    <col min="15626" max="15626" width="12.40625" style="3" bestFit="1" customWidth="1"/>
    <col min="15627" max="15627" width="11.1328125" style="3" customWidth="1"/>
    <col min="15628" max="15628" width="12.40625" style="3" bestFit="1" customWidth="1"/>
    <col min="15629" max="15631" width="11.1328125" style="3" customWidth="1"/>
    <col min="15632" max="15848" width="11.40625" style="3" customWidth="1"/>
    <col min="15849" max="15849" width="19.86328125" style="3" customWidth="1"/>
    <col min="15850" max="15862" width="12.7265625" style="3" customWidth="1"/>
    <col min="15863" max="15874" width="15" style="3"/>
    <col min="15875" max="15875" width="15.26953125" style="3" bestFit="1" customWidth="1"/>
    <col min="15876" max="15878" width="11.1328125" style="3" customWidth="1"/>
    <col min="15879" max="15881" width="13.40625" style="3" customWidth="1"/>
    <col min="15882" max="15882" width="12.40625" style="3" bestFit="1" customWidth="1"/>
    <col min="15883" max="15883" width="11.1328125" style="3" customWidth="1"/>
    <col min="15884" max="15884" width="12.40625" style="3" bestFit="1" customWidth="1"/>
    <col min="15885" max="15887" width="11.1328125" style="3" customWidth="1"/>
    <col min="15888" max="16104" width="11.40625" style="3" customWidth="1"/>
    <col min="16105" max="16105" width="19.86328125" style="3" customWidth="1"/>
    <col min="16106" max="16118" width="12.7265625" style="3" customWidth="1"/>
    <col min="16119" max="16130" width="15" style="3"/>
    <col min="16131" max="16131" width="15.26953125" style="3" bestFit="1" customWidth="1"/>
    <col min="16132" max="16134" width="11.1328125" style="3" customWidth="1"/>
    <col min="16135" max="16137" width="13.40625" style="3" customWidth="1"/>
    <col min="16138" max="16138" width="12.40625" style="3" bestFit="1" customWidth="1"/>
    <col min="16139" max="16139" width="11.1328125" style="3" customWidth="1"/>
    <col min="16140" max="16140" width="12.40625" style="3" bestFit="1" customWidth="1"/>
    <col min="16141" max="16143" width="11.1328125" style="3" customWidth="1"/>
    <col min="16144" max="16360" width="11.40625" style="3" customWidth="1"/>
    <col min="16361" max="16361" width="19.86328125" style="3" customWidth="1"/>
    <col min="16362" max="16374" width="12.7265625" style="3" customWidth="1"/>
    <col min="16375" max="16384" width="15" style="3"/>
  </cols>
  <sheetData>
    <row r="2" spans="1:16" s="1" customFormat="1" x14ac:dyDescent="0.6">
      <c r="A2" s="324" t="s">
        <v>0</v>
      </c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</row>
    <row r="3" spans="1:16" s="1" customFormat="1" x14ac:dyDescent="0.6">
      <c r="A3" s="324" t="s">
        <v>1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</row>
    <row r="4" spans="1:16" s="1" customFormat="1" ht="16.25" thickBot="1" x14ac:dyDescent="0.75">
      <c r="A4" s="325" t="s">
        <v>2</v>
      </c>
      <c r="B4" s="325"/>
      <c r="C4" s="325"/>
      <c r="D4" s="325"/>
      <c r="E4" s="325"/>
      <c r="F4" s="325"/>
      <c r="G4" s="325"/>
      <c r="H4" s="325"/>
      <c r="I4" s="325"/>
      <c r="J4" s="118"/>
      <c r="K4" s="2" t="str">
        <f>[7]VENTAS!G4</f>
        <v>Junio 2025</v>
      </c>
      <c r="L4" s="2"/>
      <c r="M4" s="2"/>
      <c r="N4" s="2"/>
      <c r="O4" s="2"/>
    </row>
    <row r="5" spans="1:16" ht="17.25" customHeight="1" thickBot="1" x14ac:dyDescent="0.75">
      <c r="A5" s="326" t="s">
        <v>3</v>
      </c>
      <c r="B5" s="328" t="s">
        <v>76</v>
      </c>
      <c r="C5" s="329"/>
      <c r="D5" s="330"/>
      <c r="E5" s="331" t="s">
        <v>4</v>
      </c>
      <c r="F5" s="332"/>
      <c r="G5" s="333"/>
      <c r="H5" s="331" t="s">
        <v>5</v>
      </c>
      <c r="I5" s="332"/>
      <c r="J5" s="333"/>
      <c r="K5" s="331" t="s">
        <v>6</v>
      </c>
      <c r="L5" s="332"/>
      <c r="M5" s="333"/>
      <c r="N5" s="334" t="s">
        <v>7</v>
      </c>
      <c r="O5" s="335"/>
      <c r="P5" s="335"/>
    </row>
    <row r="6" spans="1:16" ht="18" customHeight="1" thickBot="1" x14ac:dyDescent="0.75">
      <c r="A6" s="327"/>
      <c r="B6" s="4" t="s">
        <v>30</v>
      </c>
      <c r="C6" s="4" t="s">
        <v>29</v>
      </c>
      <c r="D6" s="4">
        <v>2025</v>
      </c>
      <c r="E6" s="4" t="s">
        <v>30</v>
      </c>
      <c r="F6" s="4" t="s">
        <v>29</v>
      </c>
      <c r="G6" s="4">
        <v>2025</v>
      </c>
      <c r="H6" s="4" t="s">
        <v>30</v>
      </c>
      <c r="I6" s="4" t="s">
        <v>29</v>
      </c>
      <c r="J6" s="4">
        <v>2025</v>
      </c>
      <c r="K6" s="4" t="s">
        <v>30</v>
      </c>
      <c r="L6" s="4" t="s">
        <v>29</v>
      </c>
      <c r="M6" s="4">
        <v>2025</v>
      </c>
      <c r="N6" s="4" t="s">
        <v>30</v>
      </c>
      <c r="O6" s="4" t="s">
        <v>29</v>
      </c>
      <c r="P6" s="4">
        <v>2025</v>
      </c>
    </row>
    <row r="7" spans="1:16" ht="18" customHeight="1" thickBot="1" x14ac:dyDescent="0.75">
      <c r="A7" s="5" t="s">
        <v>8</v>
      </c>
      <c r="B7" s="5">
        <v>48210.799999999988</v>
      </c>
      <c r="C7" s="5">
        <v>89157.88</v>
      </c>
      <c r="D7" s="5">
        <f>SUM(B7:C7)</f>
        <v>137368.68</v>
      </c>
      <c r="E7" s="6">
        <v>14772.459999999988</v>
      </c>
      <c r="F7" s="6">
        <f>[7]PR!K5</f>
        <v>32325.66</v>
      </c>
      <c r="G7" s="6">
        <f>SUM(E7:F7)</f>
        <v>47098.119999999988</v>
      </c>
      <c r="H7" s="6">
        <v>-582.38000000001921</v>
      </c>
      <c r="I7" s="6">
        <f>[7]RESULTADO!M7</f>
        <v>16163.36</v>
      </c>
      <c r="J7" s="6">
        <f>SUM(H7:I7)</f>
        <v>15580.979999999981</v>
      </c>
      <c r="K7" s="6">
        <v>8263.0299999999988</v>
      </c>
      <c r="L7" s="6">
        <f>'[7]PR B'!K30</f>
        <v>4957.5600000000004</v>
      </c>
      <c r="M7" s="6">
        <f>SUM(K7:L7)</f>
        <v>13220.59</v>
      </c>
      <c r="N7" s="7">
        <v>366</v>
      </c>
      <c r="O7" s="119">
        <v>366</v>
      </c>
      <c r="P7" s="121">
        <f>SUM(N7:O7)/2</f>
        <v>366</v>
      </c>
    </row>
    <row r="8" spans="1:16" ht="18" customHeight="1" thickBot="1" x14ac:dyDescent="0.75">
      <c r="A8" s="8" t="s">
        <v>9</v>
      </c>
      <c r="B8" s="24">
        <v>160308.03999999998</v>
      </c>
      <c r="C8" s="24">
        <v>104685.92</v>
      </c>
      <c r="D8" s="5">
        <f t="shared" ref="D8:D22" si="0">SUM(B8:C8)</f>
        <v>264993.95999999996</v>
      </c>
      <c r="E8" s="6">
        <v>33368.259999999987</v>
      </c>
      <c r="F8" s="6">
        <f>[7]ART!K5</f>
        <v>23280.159999999989</v>
      </c>
      <c r="G8" s="6">
        <f t="shared" ref="G8:G22" si="1">SUM(E8:F8)</f>
        <v>56648.419999999976</v>
      </c>
      <c r="H8" s="6">
        <v>6170.109999999986</v>
      </c>
      <c r="I8" s="6">
        <f>[7]RESULTADO!M8</f>
        <v>2513.3499999999913</v>
      </c>
      <c r="J8" s="6">
        <f t="shared" ref="J8:J22" si="2">SUM(H8:I8)</f>
        <v>8683.4599999999773</v>
      </c>
      <c r="K8" s="6">
        <v>6496.4900000000016</v>
      </c>
      <c r="L8" s="6">
        <f>'[7]ART B '!K30</f>
        <v>5962.61</v>
      </c>
      <c r="M8" s="6">
        <f t="shared" ref="M8:M22" si="3">SUM(K8:L8)</f>
        <v>12459.100000000002</v>
      </c>
      <c r="N8" s="7">
        <v>375</v>
      </c>
      <c r="O8" s="119">
        <v>375</v>
      </c>
      <c r="P8" s="122">
        <f t="shared" ref="P8:P22" si="4">SUM(N8:O8)/2</f>
        <v>375</v>
      </c>
    </row>
    <row r="9" spans="1:16" ht="18" customHeight="1" thickBot="1" x14ac:dyDescent="0.75">
      <c r="A9" s="8" t="s">
        <v>10</v>
      </c>
      <c r="B9" s="24">
        <f>42217.86-21618.71</f>
        <v>20599.150000000001</v>
      </c>
      <c r="C9" s="24">
        <v>16945.77</v>
      </c>
      <c r="D9" s="5">
        <f t="shared" si="0"/>
        <v>37544.92</v>
      </c>
      <c r="E9" s="6">
        <v>642.23999999999614</v>
      </c>
      <c r="F9" s="6">
        <f>[7]OC!K5</f>
        <v>1463.7099999999964</v>
      </c>
      <c r="G9" s="6">
        <f t="shared" si="1"/>
        <v>2105.9499999999925</v>
      </c>
      <c r="H9" s="6">
        <v>-570.55000000000291</v>
      </c>
      <c r="I9" s="6">
        <f>[7]RESULTADO!M10</f>
        <v>0</v>
      </c>
      <c r="J9" s="6">
        <f t="shared" si="2"/>
        <v>-570.55000000000291</v>
      </c>
      <c r="K9" s="6">
        <v>1000.1599999999999</v>
      </c>
      <c r="L9" s="6">
        <f>'[7]OC B'!K30</f>
        <v>1082.72</v>
      </c>
      <c r="M9" s="6">
        <f t="shared" si="3"/>
        <v>2082.88</v>
      </c>
      <c r="N9" s="7">
        <v>48</v>
      </c>
      <c r="O9" s="119">
        <v>35</v>
      </c>
      <c r="P9" s="122">
        <f t="shared" si="4"/>
        <v>41.5</v>
      </c>
    </row>
    <row r="10" spans="1:16" ht="18" customHeight="1" thickBot="1" x14ac:dyDescent="0.75">
      <c r="A10" s="8" t="s">
        <v>11</v>
      </c>
      <c r="B10" s="24">
        <v>175702.67</v>
      </c>
      <c r="C10" s="24">
        <v>111410.94</v>
      </c>
      <c r="D10" s="5">
        <f t="shared" si="0"/>
        <v>287113.61</v>
      </c>
      <c r="E10" s="6">
        <v>35256.370000000024</v>
      </c>
      <c r="F10" s="6">
        <f>[7]HAB!K5</f>
        <v>37554.97</v>
      </c>
      <c r="G10" s="6">
        <f t="shared" si="1"/>
        <v>72811.340000000026</v>
      </c>
      <c r="H10" s="6">
        <v>11913.990000000034</v>
      </c>
      <c r="I10" s="6">
        <f>[7]RESULTADO!M9</f>
        <v>14020.669999999998</v>
      </c>
      <c r="J10" s="6">
        <f t="shared" si="2"/>
        <v>25934.660000000033</v>
      </c>
      <c r="K10" s="6">
        <v>8213.119999999999</v>
      </c>
      <c r="L10" s="6">
        <f>'[7]HAB B'!K30</f>
        <v>7884.9</v>
      </c>
      <c r="M10" s="6">
        <f t="shared" si="3"/>
        <v>16098.019999999999</v>
      </c>
      <c r="N10" s="7">
        <v>226</v>
      </c>
      <c r="O10" s="119">
        <v>226</v>
      </c>
      <c r="P10" s="122">
        <f t="shared" si="4"/>
        <v>226</v>
      </c>
    </row>
    <row r="11" spans="1:16" ht="18" customHeight="1" thickBot="1" x14ac:dyDescent="0.75">
      <c r="A11" s="8" t="s">
        <v>12</v>
      </c>
      <c r="B11" s="24">
        <v>50392.86</v>
      </c>
      <c r="C11" s="24">
        <v>60917.19</v>
      </c>
      <c r="D11" s="5">
        <f t="shared" si="0"/>
        <v>111310.05</v>
      </c>
      <c r="E11" s="6">
        <v>16372.060000000018</v>
      </c>
      <c r="F11" s="6">
        <f>[7]MAY!K5</f>
        <v>16289.95</v>
      </c>
      <c r="G11" s="6">
        <f t="shared" si="1"/>
        <v>32662.010000000017</v>
      </c>
      <c r="H11" s="6">
        <v>5044.1100000000151</v>
      </c>
      <c r="I11" s="6">
        <f>[7]RESULTADO!M11</f>
        <v>4897.57</v>
      </c>
      <c r="J11" s="6">
        <f t="shared" si="2"/>
        <v>9941.6800000000148</v>
      </c>
      <c r="K11" s="6">
        <v>4955.01</v>
      </c>
      <c r="L11" s="6">
        <f>'[7]MAY B'!K30</f>
        <v>4030.59</v>
      </c>
      <c r="M11" s="6">
        <f t="shared" si="3"/>
        <v>8985.6</v>
      </c>
      <c r="N11" s="7">
        <v>520</v>
      </c>
      <c r="O11" s="119">
        <v>365</v>
      </c>
      <c r="P11" s="122">
        <f t="shared" si="4"/>
        <v>442.5</v>
      </c>
    </row>
    <row r="12" spans="1:16" ht="18" customHeight="1" thickBot="1" x14ac:dyDescent="0.75">
      <c r="A12" s="8" t="s">
        <v>13</v>
      </c>
      <c r="B12" s="24">
        <v>60167.58</v>
      </c>
      <c r="C12" s="24">
        <v>76402.510000000009</v>
      </c>
      <c r="D12" s="5">
        <f t="shared" si="0"/>
        <v>136570.09000000003</v>
      </c>
      <c r="E12" s="6">
        <v>15976.332630000001</v>
      </c>
      <c r="F12" s="6">
        <f>[7]MAT!K5</f>
        <v>23795.12000000001</v>
      </c>
      <c r="G12" s="6">
        <f t="shared" si="1"/>
        <v>39771.452630000014</v>
      </c>
      <c r="H12" s="6">
        <v>6208.8326300000044</v>
      </c>
      <c r="I12" s="6">
        <f>[7]RESULTADO!M12</f>
        <v>12648.470000000008</v>
      </c>
      <c r="J12" s="6">
        <f t="shared" si="2"/>
        <v>18857.302630000013</v>
      </c>
      <c r="K12" s="6">
        <v>3366.89</v>
      </c>
      <c r="L12" s="6">
        <f>'[7]MAT B'!K30</f>
        <v>3687.79</v>
      </c>
      <c r="M12" s="6">
        <f t="shared" si="3"/>
        <v>7054.68</v>
      </c>
      <c r="N12" s="7">
        <v>152</v>
      </c>
      <c r="O12" s="119">
        <v>152</v>
      </c>
      <c r="P12" s="122">
        <f t="shared" si="4"/>
        <v>152</v>
      </c>
    </row>
    <row r="13" spans="1:16" ht="18" customHeight="1" thickBot="1" x14ac:dyDescent="0.75">
      <c r="A13" s="8" t="s">
        <v>14</v>
      </c>
      <c r="B13" s="24">
        <v>25158.480000000003</v>
      </c>
      <c r="C13" s="24">
        <v>25434.21</v>
      </c>
      <c r="D13" s="5">
        <f t="shared" si="0"/>
        <v>50592.69</v>
      </c>
      <c r="E13" s="6">
        <v>9549.5519200000053</v>
      </c>
      <c r="F13" s="6">
        <f>[7]VC!K5</f>
        <v>9397.6399999999976</v>
      </c>
      <c r="G13" s="6">
        <f t="shared" si="1"/>
        <v>18947.191920000005</v>
      </c>
      <c r="H13" s="6">
        <v>601.71192000000519</v>
      </c>
      <c r="I13" s="6">
        <f>[7]RESULTADO!M13</f>
        <v>21.379999999997381</v>
      </c>
      <c r="J13" s="6">
        <f t="shared" si="2"/>
        <v>623.09192000000257</v>
      </c>
      <c r="K13" s="6">
        <v>4690.7300000000005</v>
      </c>
      <c r="L13" s="6">
        <f>'[7]VC B'!K30</f>
        <v>4853.17</v>
      </c>
      <c r="M13" s="6">
        <f t="shared" si="3"/>
        <v>9543.9000000000015</v>
      </c>
      <c r="N13" s="7">
        <v>312</v>
      </c>
      <c r="O13" s="119">
        <v>312</v>
      </c>
      <c r="P13" s="122">
        <f t="shared" si="4"/>
        <v>312</v>
      </c>
    </row>
    <row r="14" spans="1:16" ht="18" customHeight="1" thickBot="1" x14ac:dyDescent="0.75">
      <c r="A14" s="8" t="s">
        <v>15</v>
      </c>
      <c r="B14" s="24">
        <v>50694.850000000006</v>
      </c>
      <c r="C14" s="24">
        <v>62463.799999999996</v>
      </c>
      <c r="D14" s="5">
        <f t="shared" si="0"/>
        <v>113158.65</v>
      </c>
      <c r="E14" s="6">
        <v>13804.49001000001</v>
      </c>
      <c r="F14" s="6">
        <f>[7]CFG!K5</f>
        <v>15834.939999999991</v>
      </c>
      <c r="G14" s="6">
        <f t="shared" si="1"/>
        <v>29639.430010000004</v>
      </c>
      <c r="H14" s="6">
        <v>5310.3600100000112</v>
      </c>
      <c r="I14" s="6">
        <f>[7]RESULTADO!M14</f>
        <v>5677.419999999991</v>
      </c>
      <c r="J14" s="6">
        <f t="shared" si="2"/>
        <v>10987.780010000002</v>
      </c>
      <c r="K14" s="6">
        <v>4230.0300000000007</v>
      </c>
      <c r="L14" s="6">
        <f>'[7]CFG B'!K30</f>
        <v>4825.82</v>
      </c>
      <c r="M14" s="6">
        <f t="shared" si="3"/>
        <v>9055.85</v>
      </c>
      <c r="N14" s="7">
        <v>209</v>
      </c>
      <c r="O14" s="119">
        <v>209</v>
      </c>
      <c r="P14" s="122">
        <f t="shared" si="4"/>
        <v>209</v>
      </c>
    </row>
    <row r="15" spans="1:16" ht="18" customHeight="1" thickBot="1" x14ac:dyDescent="0.75">
      <c r="A15" s="8" t="s">
        <v>16</v>
      </c>
      <c r="B15" s="24">
        <v>48628.590000000004</v>
      </c>
      <c r="C15" s="24">
        <v>46522.87</v>
      </c>
      <c r="D15" s="5">
        <f t="shared" si="0"/>
        <v>95151.46</v>
      </c>
      <c r="E15" s="6">
        <v>8262.4800000000141</v>
      </c>
      <c r="F15" s="6">
        <f>[7]SSP!K5</f>
        <v>11149.630000000003</v>
      </c>
      <c r="G15" s="6">
        <f t="shared" si="1"/>
        <v>19412.110000000015</v>
      </c>
      <c r="H15" s="6">
        <v>-1842.3199999999852</v>
      </c>
      <c r="I15" s="6">
        <f>[7]RESULTADO!M15</f>
        <v>1598.9000000000015</v>
      </c>
      <c r="J15" s="6">
        <f t="shared" si="2"/>
        <v>-243.4199999999837</v>
      </c>
      <c r="K15" s="6">
        <v>3675.63</v>
      </c>
      <c r="L15" s="6">
        <f>'[7]SSP B'!K30</f>
        <v>3304.66</v>
      </c>
      <c r="M15" s="6">
        <f t="shared" si="3"/>
        <v>6980.29</v>
      </c>
      <c r="N15" s="7">
        <v>144</v>
      </c>
      <c r="O15" s="119">
        <v>224</v>
      </c>
      <c r="P15" s="122">
        <f t="shared" si="4"/>
        <v>184</v>
      </c>
    </row>
    <row r="16" spans="1:16" ht="18" customHeight="1" thickBot="1" x14ac:dyDescent="0.75">
      <c r="A16" s="8" t="s">
        <v>17</v>
      </c>
      <c r="B16" s="24">
        <v>23130.36</v>
      </c>
      <c r="C16" s="24">
        <v>20418.810000000001</v>
      </c>
      <c r="D16" s="5">
        <f t="shared" si="0"/>
        <v>43549.17</v>
      </c>
      <c r="E16" s="6">
        <v>8420.2700000000023</v>
      </c>
      <c r="F16" s="6">
        <f>[7]CAV!K5</f>
        <v>7584.0100000000011</v>
      </c>
      <c r="G16" s="6">
        <f t="shared" si="1"/>
        <v>16004.280000000002</v>
      </c>
      <c r="H16" s="6">
        <v>2604.3100000000013</v>
      </c>
      <c r="I16" s="6">
        <f>[7]RESULTADO!M16</f>
        <v>1636.4900000000016</v>
      </c>
      <c r="J16" s="6">
        <f t="shared" si="2"/>
        <v>4240.8000000000029</v>
      </c>
      <c r="K16" s="6">
        <v>2671.18</v>
      </c>
      <c r="L16" s="6">
        <f>'[7]CAV B'!K30</f>
        <v>3178.18</v>
      </c>
      <c r="M16" s="6">
        <f t="shared" si="3"/>
        <v>5849.36</v>
      </c>
      <c r="N16" s="7">
        <v>381</v>
      </c>
      <c r="O16" s="119">
        <v>201</v>
      </c>
      <c r="P16" s="122">
        <f t="shared" si="4"/>
        <v>291</v>
      </c>
    </row>
    <row r="17" spans="1:17" ht="18" customHeight="1" thickBot="1" x14ac:dyDescent="0.75">
      <c r="A17" s="8" t="s">
        <v>18</v>
      </c>
      <c r="B17" s="24">
        <v>96675.219999999928</v>
      </c>
      <c r="C17" s="24">
        <v>113972.73</v>
      </c>
      <c r="D17" s="5">
        <f t="shared" si="0"/>
        <v>210647.94999999992</v>
      </c>
      <c r="E17" s="6">
        <v>25400.11526999994</v>
      </c>
      <c r="F17" s="6">
        <f>[7]CMG!K5</f>
        <v>29644.969999999998</v>
      </c>
      <c r="G17" s="6">
        <f t="shared" si="1"/>
        <v>55045.085269999938</v>
      </c>
      <c r="H17" s="6">
        <v>8547.6252699999313</v>
      </c>
      <c r="I17" s="6">
        <f>[7]RESULTADO!M17</f>
        <v>11395.169999999998</v>
      </c>
      <c r="J17" s="6">
        <f t="shared" si="2"/>
        <v>19942.79526999993</v>
      </c>
      <c r="K17" s="6">
        <v>4914.4599999999991</v>
      </c>
      <c r="L17" s="6">
        <f>'[7]CMG B'!K30</f>
        <v>4258.4799999999996</v>
      </c>
      <c r="M17" s="6">
        <f t="shared" si="3"/>
        <v>9172.9399999999987</v>
      </c>
      <c r="N17" s="7">
        <v>258</v>
      </c>
      <c r="O17" s="119">
        <v>358</v>
      </c>
      <c r="P17" s="122">
        <f t="shared" si="4"/>
        <v>308</v>
      </c>
    </row>
    <row r="18" spans="1:17" ht="18" customHeight="1" thickBot="1" x14ac:dyDescent="0.75">
      <c r="A18" s="8" t="s">
        <v>19</v>
      </c>
      <c r="B18" s="24">
        <v>22965.950009999997</v>
      </c>
      <c r="C18" s="24">
        <v>22884.53</v>
      </c>
      <c r="D18" s="5">
        <f t="shared" si="0"/>
        <v>45850.480009999999</v>
      </c>
      <c r="E18" s="6">
        <v>8768.3678499999987</v>
      </c>
      <c r="F18" s="6">
        <f>[7]LT!K5</f>
        <v>7572.36</v>
      </c>
      <c r="G18" s="6">
        <f t="shared" si="1"/>
        <v>16340.727849999999</v>
      </c>
      <c r="H18" s="6">
        <v>1743.2178499999973</v>
      </c>
      <c r="I18" s="6">
        <f>[7]RESULTADO!M18</f>
        <v>385.04999999999927</v>
      </c>
      <c r="J18" s="6">
        <f t="shared" si="2"/>
        <v>2128.2678499999965</v>
      </c>
      <c r="K18" s="6">
        <v>3644.3699999999994</v>
      </c>
      <c r="L18" s="6">
        <f>'[7]LT B'!K30</f>
        <v>3081.3</v>
      </c>
      <c r="M18" s="6">
        <f t="shared" si="3"/>
        <v>6725.67</v>
      </c>
      <c r="N18" s="7">
        <v>227</v>
      </c>
      <c r="O18" s="119">
        <v>227</v>
      </c>
      <c r="P18" s="122">
        <f t="shared" si="4"/>
        <v>227</v>
      </c>
    </row>
    <row r="19" spans="1:17" ht="18" customHeight="1" thickBot="1" x14ac:dyDescent="0.75">
      <c r="A19" s="8" t="s">
        <v>20</v>
      </c>
      <c r="B19" s="24">
        <v>82309.119999999995</v>
      </c>
      <c r="C19" s="24">
        <v>123511.52</v>
      </c>
      <c r="D19" s="5">
        <f t="shared" si="0"/>
        <v>205820.64</v>
      </c>
      <c r="E19" s="6">
        <v>24088.61000000003</v>
      </c>
      <c r="F19" s="6">
        <f>[7]HLG!K5</f>
        <v>38509.450000000012</v>
      </c>
      <c r="G19" s="6">
        <f t="shared" si="1"/>
        <v>62598.060000000041</v>
      </c>
      <c r="H19" s="6">
        <v>3985.4500000000262</v>
      </c>
      <c r="I19" s="6">
        <f>[7]RESULTADO!M19</f>
        <v>10213.430000000008</v>
      </c>
      <c r="J19" s="6">
        <f t="shared" si="2"/>
        <v>14198.880000000034</v>
      </c>
      <c r="K19" s="6">
        <v>8570.84</v>
      </c>
      <c r="L19" s="6">
        <f>'[7]HLG B'!K30</f>
        <v>11651.85</v>
      </c>
      <c r="M19" s="6">
        <f t="shared" si="3"/>
        <v>20222.690000000002</v>
      </c>
      <c r="N19" s="7">
        <v>471</v>
      </c>
      <c r="O19" s="119">
        <v>471</v>
      </c>
      <c r="P19" s="122">
        <f t="shared" si="4"/>
        <v>471</v>
      </c>
    </row>
    <row r="20" spans="1:17" ht="18" customHeight="1" thickBot="1" x14ac:dyDescent="0.75">
      <c r="A20" s="8" t="s">
        <v>21</v>
      </c>
      <c r="B20" s="24">
        <v>45066.59</v>
      </c>
      <c r="C20" s="24">
        <v>42066.16</v>
      </c>
      <c r="D20" s="5">
        <f t="shared" si="0"/>
        <v>87132.75</v>
      </c>
      <c r="E20" s="6">
        <v>17339.929999999997</v>
      </c>
      <c r="F20" s="6">
        <f>[7]GRM!K5</f>
        <v>15876.210000000006</v>
      </c>
      <c r="G20" s="6">
        <f t="shared" si="1"/>
        <v>33216.14</v>
      </c>
      <c r="H20" s="6">
        <v>8778.6199999999953</v>
      </c>
      <c r="I20" s="6">
        <f>[7]RESULTADO!M20</f>
        <v>6348.4600000000064</v>
      </c>
      <c r="J20" s="6">
        <f t="shared" si="2"/>
        <v>15127.080000000002</v>
      </c>
      <c r="K20" s="6">
        <v>2713.45</v>
      </c>
      <c r="L20" s="6">
        <f>'[7]GRM B'!K30</f>
        <v>3685.09</v>
      </c>
      <c r="M20" s="6">
        <f t="shared" si="3"/>
        <v>6398.54</v>
      </c>
      <c r="N20" s="7">
        <v>193</v>
      </c>
      <c r="O20" s="119">
        <v>193</v>
      </c>
      <c r="P20" s="122">
        <f t="shared" si="4"/>
        <v>193</v>
      </c>
    </row>
    <row r="21" spans="1:17" ht="18" customHeight="1" thickBot="1" x14ac:dyDescent="0.75">
      <c r="A21" s="8" t="s">
        <v>22</v>
      </c>
      <c r="B21" s="24">
        <v>57541.850000000006</v>
      </c>
      <c r="C21" s="24">
        <v>35116.069999999992</v>
      </c>
      <c r="D21" s="5">
        <f t="shared" si="0"/>
        <v>92657.919999999998</v>
      </c>
      <c r="E21" s="6">
        <v>19788.689999999995</v>
      </c>
      <c r="F21" s="6">
        <f>[7]SC!K5</f>
        <v>11124.989999999994</v>
      </c>
      <c r="G21" s="6">
        <f t="shared" si="1"/>
        <v>30913.679999999989</v>
      </c>
      <c r="H21" s="6">
        <v>8237.43</v>
      </c>
      <c r="I21" s="6">
        <f>[7]RESULTADO!M21</f>
        <v>2200.7899999999936</v>
      </c>
      <c r="J21" s="6">
        <f t="shared" si="2"/>
        <v>10438.219999999994</v>
      </c>
      <c r="K21" s="6">
        <v>4321.2700000000004</v>
      </c>
      <c r="L21" s="6">
        <f>'[7]SC B'!K30</f>
        <v>3829.86</v>
      </c>
      <c r="M21" s="6">
        <f t="shared" si="3"/>
        <v>8151.130000000001</v>
      </c>
      <c r="N21" s="7">
        <v>220</v>
      </c>
      <c r="O21" s="119">
        <v>220</v>
      </c>
      <c r="P21" s="122">
        <f t="shared" si="4"/>
        <v>220</v>
      </c>
    </row>
    <row r="22" spans="1:17" ht="18" customHeight="1" thickBot="1" x14ac:dyDescent="0.75">
      <c r="A22" s="8" t="s">
        <v>23</v>
      </c>
      <c r="B22" s="24">
        <v>26017.85999999999</v>
      </c>
      <c r="C22" s="24">
        <v>21297.95</v>
      </c>
      <c r="D22" s="5">
        <f t="shared" si="0"/>
        <v>47315.80999999999</v>
      </c>
      <c r="E22" s="6">
        <v>7814.409999999988</v>
      </c>
      <c r="F22" s="6">
        <f>[7]GTM!K5</f>
        <v>6401.7400000000007</v>
      </c>
      <c r="G22" s="6">
        <f t="shared" si="1"/>
        <v>14216.149999999989</v>
      </c>
      <c r="H22" s="6">
        <v>737.49999999999272</v>
      </c>
      <c r="I22" s="6">
        <f>[7]RESULTADO!M22</f>
        <v>400.09000000000015</v>
      </c>
      <c r="J22" s="6">
        <f t="shared" si="2"/>
        <v>1137.5899999999929</v>
      </c>
      <c r="K22" s="6">
        <v>3882.15</v>
      </c>
      <c r="L22" s="6">
        <f>'[7]GTM B'!K30</f>
        <v>3325.57</v>
      </c>
      <c r="M22" s="6">
        <f t="shared" si="3"/>
        <v>7207.72</v>
      </c>
      <c r="N22" s="123">
        <v>187</v>
      </c>
      <c r="O22" s="124">
        <v>187</v>
      </c>
      <c r="P22" s="125">
        <f t="shared" si="4"/>
        <v>187</v>
      </c>
    </row>
    <row r="23" spans="1:17" s="13" customFormat="1" ht="18" customHeight="1" thickBot="1" x14ac:dyDescent="0.75">
      <c r="A23" s="9" t="s">
        <v>24</v>
      </c>
      <c r="B23" s="10">
        <f t="shared" ref="B23:O23" si="5">SUM(B7:B22)</f>
        <v>993569.97000999982</v>
      </c>
      <c r="C23" s="10">
        <f t="shared" si="5"/>
        <v>973208.8600000001</v>
      </c>
      <c r="D23" s="5">
        <f>SUM(B23:C23)</f>
        <v>1966778.8300099999</v>
      </c>
      <c r="E23" s="10">
        <f t="shared" si="5"/>
        <v>259624.63767999999</v>
      </c>
      <c r="F23" s="10">
        <f t="shared" si="5"/>
        <v>287805.51</v>
      </c>
      <c r="G23" s="10">
        <f>SUM(E23:F23)</f>
        <v>547430.14767999994</v>
      </c>
      <c r="H23" s="10">
        <f t="shared" si="5"/>
        <v>66888.017680000019</v>
      </c>
      <c r="I23" s="10">
        <f t="shared" si="5"/>
        <v>90120.599999999991</v>
      </c>
      <c r="J23" s="10">
        <f>SUM(H23:I23)</f>
        <v>157008.61768000002</v>
      </c>
      <c r="K23" s="10">
        <f t="shared" si="5"/>
        <v>75608.81</v>
      </c>
      <c r="L23" s="10">
        <f t="shared" si="5"/>
        <v>73600.150000000023</v>
      </c>
      <c r="M23" s="10">
        <f>SUM(K23:L23)</f>
        <v>149208.96000000002</v>
      </c>
      <c r="N23" s="11">
        <f t="shared" si="5"/>
        <v>4289</v>
      </c>
      <c r="O23" s="120">
        <f t="shared" si="5"/>
        <v>4121</v>
      </c>
      <c r="P23" s="131">
        <f>SUM(N23:O23)/2</f>
        <v>4205</v>
      </c>
      <c r="Q23" s="12">
        <f>C24-C23</f>
        <v>218244.57999999961</v>
      </c>
    </row>
    <row r="24" spans="1:17" ht="14.75" thickBot="1" x14ac:dyDescent="0.75">
      <c r="B24" s="3" t="s">
        <v>314</v>
      </c>
      <c r="C24" s="253">
        <f>Hoja1!D6-'EMPLEO Y SALARIO'!C23</f>
        <v>1191453.4399999997</v>
      </c>
    </row>
    <row r="25" spans="1:17" ht="31.5" customHeight="1" thickBot="1" x14ac:dyDescent="0.75">
      <c r="A25" s="322" t="s">
        <v>3</v>
      </c>
      <c r="B25" s="328" t="s">
        <v>77</v>
      </c>
      <c r="C25" s="329"/>
      <c r="D25" s="330"/>
      <c r="E25" s="336" t="s">
        <v>25</v>
      </c>
      <c r="F25" s="337"/>
      <c r="G25" s="338"/>
      <c r="H25" s="336" t="s">
        <v>26</v>
      </c>
      <c r="I25" s="337"/>
      <c r="J25" s="337"/>
      <c r="K25" s="337" t="s">
        <v>27</v>
      </c>
      <c r="L25" s="337"/>
      <c r="M25" s="338"/>
      <c r="N25" s="339" t="s">
        <v>28</v>
      </c>
      <c r="O25" s="340"/>
      <c r="P25" s="341"/>
    </row>
    <row r="26" spans="1:17" ht="14.75" thickBot="1" x14ac:dyDescent="0.75">
      <c r="A26" s="323"/>
      <c r="B26" s="4" t="s">
        <v>30</v>
      </c>
      <c r="C26" s="4" t="s">
        <v>29</v>
      </c>
      <c r="D26" s="4">
        <v>2025</v>
      </c>
      <c r="E26" s="4" t="s">
        <v>30</v>
      </c>
      <c r="F26" s="4" t="s">
        <v>29</v>
      </c>
      <c r="G26" s="4">
        <v>2025</v>
      </c>
      <c r="H26" s="4" t="s">
        <v>30</v>
      </c>
      <c r="I26" s="4" t="s">
        <v>29</v>
      </c>
      <c r="J26" s="4">
        <v>2025</v>
      </c>
      <c r="K26" s="4" t="s">
        <v>30</v>
      </c>
      <c r="L26" s="4" t="s">
        <v>29</v>
      </c>
      <c r="M26" s="4">
        <v>2025</v>
      </c>
      <c r="N26" s="4" t="s">
        <v>30</v>
      </c>
      <c r="O26" s="4" t="s">
        <v>29</v>
      </c>
      <c r="P26" s="4">
        <v>2025</v>
      </c>
    </row>
    <row r="27" spans="1:17" ht="14.75" thickBot="1" x14ac:dyDescent="0.75">
      <c r="A27" s="5" t="s">
        <v>8</v>
      </c>
      <c r="B27" s="5">
        <v>47563.37999999999</v>
      </c>
      <c r="C27" s="5">
        <v>88920.320000000007</v>
      </c>
      <c r="D27" s="5">
        <f>SUM(B27:C27)</f>
        <v>136483.70000000001</v>
      </c>
      <c r="E27" s="14">
        <f t="shared" ref="E27:E43" si="6">K7/E7</f>
        <v>0.55935368922982398</v>
      </c>
      <c r="F27" s="14">
        <f t="shared" ref="F27:G43" si="7">L7/F7</f>
        <v>0.15336299398063336</v>
      </c>
      <c r="G27" s="14">
        <f t="shared" si="7"/>
        <v>0.28070313634599436</v>
      </c>
      <c r="H27" s="15">
        <f t="shared" ref="H27:H43" si="8">K7*1000/N7/6</f>
        <v>3762.7641165755917</v>
      </c>
      <c r="I27" s="15">
        <f t="shared" ref="I27:I43" si="9">L7*1000/O7/6</f>
        <v>2257.5409836065573</v>
      </c>
      <c r="J27" s="15">
        <f>M7*1000/P7/12</f>
        <v>3010.1525500910743</v>
      </c>
      <c r="K27" s="16">
        <f t="shared" ref="K27:K43" si="10">E7*1000/N7/6</f>
        <v>6726.9854280509971</v>
      </c>
      <c r="L27" s="16">
        <f t="shared" ref="L27:L43" si="11">F7*1000/O7/6</f>
        <v>14720.245901639346</v>
      </c>
      <c r="M27" s="16">
        <f>G7*1000/P7/12</f>
        <v>10723.615664845171</v>
      </c>
      <c r="N27" s="126">
        <f t="shared" ref="N27:N43" si="12">H27/K27</f>
        <v>0.55935368922982398</v>
      </c>
      <c r="O27" s="126">
        <f t="shared" ref="O27:P43" si="13">I27/L27</f>
        <v>0.15336299398063333</v>
      </c>
      <c r="P27" s="127">
        <f t="shared" si="13"/>
        <v>0.28070313634599431</v>
      </c>
    </row>
    <row r="28" spans="1:17" ht="14.75" thickBot="1" x14ac:dyDescent="0.75">
      <c r="A28" s="8" t="s">
        <v>9</v>
      </c>
      <c r="B28" s="24">
        <v>160047.18999999997</v>
      </c>
      <c r="C28" s="24">
        <v>104660.52</v>
      </c>
      <c r="D28" s="24">
        <f t="shared" ref="D28:D42" si="14">SUM(B28:C28)</f>
        <v>264707.70999999996</v>
      </c>
      <c r="E28" s="14">
        <f t="shared" si="6"/>
        <v>0.19469070308131153</v>
      </c>
      <c r="F28" s="14">
        <f t="shared" si="7"/>
        <v>0.25612409880344478</v>
      </c>
      <c r="G28" s="14">
        <f t="shared" si="7"/>
        <v>0.21993729039574286</v>
      </c>
      <c r="H28" s="15">
        <f t="shared" si="8"/>
        <v>2887.3288888888897</v>
      </c>
      <c r="I28" s="15">
        <f t="shared" si="9"/>
        <v>2650.048888888889</v>
      </c>
      <c r="J28" s="15">
        <f t="shared" ref="J28:J43" si="15">M8*1000/P8/12</f>
        <v>2768.6888888888893</v>
      </c>
      <c r="K28" s="16">
        <f t="shared" si="10"/>
        <v>14830.337777777773</v>
      </c>
      <c r="L28" s="16">
        <f t="shared" si="11"/>
        <v>10346.737777777773</v>
      </c>
      <c r="M28" s="16">
        <f t="shared" ref="M28:M43" si="16">G8*1000/P8/12</f>
        <v>12588.537777777774</v>
      </c>
      <c r="N28" s="17">
        <f t="shared" si="12"/>
        <v>0.19469070308131151</v>
      </c>
      <c r="O28" s="17">
        <f t="shared" si="13"/>
        <v>0.25612409880344478</v>
      </c>
      <c r="P28" s="128">
        <f t="shared" si="13"/>
        <v>0.21993729039574283</v>
      </c>
    </row>
    <row r="29" spans="1:17" ht="14.75" thickBot="1" x14ac:dyDescent="0.75">
      <c r="A29" s="8" t="s">
        <v>10</v>
      </c>
      <c r="B29" s="24"/>
      <c r="C29" s="24"/>
      <c r="D29" s="24">
        <f t="shared" si="14"/>
        <v>0</v>
      </c>
      <c r="E29" s="14">
        <f t="shared" si="6"/>
        <v>1.5572994519182952</v>
      </c>
      <c r="F29" s="14">
        <f t="shared" si="7"/>
        <v>0.73970936865909409</v>
      </c>
      <c r="G29" s="14">
        <f t="shared" si="7"/>
        <v>0.98904532396306055</v>
      </c>
      <c r="H29" s="15">
        <f t="shared" si="8"/>
        <v>3472.7777777777774</v>
      </c>
      <c r="I29" s="15">
        <f t="shared" si="9"/>
        <v>5155.8095238095239</v>
      </c>
      <c r="J29" s="15">
        <f t="shared" si="15"/>
        <v>4182.4899598393577</v>
      </c>
      <c r="K29" s="16">
        <f t="shared" si="10"/>
        <v>2229.9999999999868</v>
      </c>
      <c r="L29" s="16">
        <f t="shared" si="11"/>
        <v>6970.0476190476029</v>
      </c>
      <c r="M29" s="16">
        <f t="shared" si="16"/>
        <v>4228.8152610441621</v>
      </c>
      <c r="N29" s="17">
        <f t="shared" si="12"/>
        <v>1.557299451918295</v>
      </c>
      <c r="O29" s="17">
        <f t="shared" si="13"/>
        <v>0.73970936865909398</v>
      </c>
      <c r="P29" s="128">
        <f t="shared" si="13"/>
        <v>0.98904532396306055</v>
      </c>
    </row>
    <row r="30" spans="1:17" ht="14.75" thickBot="1" x14ac:dyDescent="0.75">
      <c r="A30" s="8" t="s">
        <v>11</v>
      </c>
      <c r="B30" s="24">
        <v>196253.75</v>
      </c>
      <c r="C30" s="24">
        <v>111046.73</v>
      </c>
      <c r="D30" s="24">
        <f t="shared" si="14"/>
        <v>307300.47999999998</v>
      </c>
      <c r="E30" s="14">
        <f t="shared" si="6"/>
        <v>0.23295421508226721</v>
      </c>
      <c r="F30" s="14">
        <f t="shared" si="7"/>
        <v>0.20995623215782092</v>
      </c>
      <c r="G30" s="14">
        <f t="shared" si="7"/>
        <v>0.22109220898832507</v>
      </c>
      <c r="H30" s="15">
        <f t="shared" si="8"/>
        <v>6056.8731563421825</v>
      </c>
      <c r="I30" s="15">
        <f t="shared" si="9"/>
        <v>5814.8230088495575</v>
      </c>
      <c r="J30" s="15">
        <f t="shared" si="15"/>
        <v>5935.8480825958695</v>
      </c>
      <c r="K30" s="16">
        <f t="shared" si="10"/>
        <v>26000.272861356949</v>
      </c>
      <c r="L30" s="16">
        <f t="shared" si="11"/>
        <v>27695.405604719766</v>
      </c>
      <c r="M30" s="16">
        <f t="shared" si="16"/>
        <v>26847.839233038361</v>
      </c>
      <c r="N30" s="17">
        <f t="shared" si="12"/>
        <v>0.23295421508226724</v>
      </c>
      <c r="O30" s="17">
        <f t="shared" si="13"/>
        <v>0.20995623215782092</v>
      </c>
      <c r="P30" s="128">
        <f t="shared" si="13"/>
        <v>0.22109220898832505</v>
      </c>
    </row>
    <row r="31" spans="1:17" ht="14.75" thickBot="1" x14ac:dyDescent="0.75">
      <c r="A31" s="8" t="s">
        <v>12</v>
      </c>
      <c r="B31" s="24">
        <v>43606.729999999996</v>
      </c>
      <c r="C31" s="24">
        <v>60792.51</v>
      </c>
      <c r="D31" s="24">
        <f t="shared" si="14"/>
        <v>104399.23999999999</v>
      </c>
      <c r="E31" s="14">
        <f t="shared" si="6"/>
        <v>0.30265036898227804</v>
      </c>
      <c r="F31" s="14">
        <f t="shared" si="7"/>
        <v>0.24742801543282822</v>
      </c>
      <c r="G31" s="14">
        <f t="shared" si="7"/>
        <v>0.27510860476743459</v>
      </c>
      <c r="H31" s="15">
        <f t="shared" si="8"/>
        <v>1588.1442307692307</v>
      </c>
      <c r="I31" s="15">
        <f t="shared" si="9"/>
        <v>1840.4520547945206</v>
      </c>
      <c r="J31" s="15">
        <f t="shared" si="15"/>
        <v>1692.2033898305083</v>
      </c>
      <c r="K31" s="16">
        <f t="shared" si="10"/>
        <v>5247.4551282051334</v>
      </c>
      <c r="L31" s="16">
        <f t="shared" si="11"/>
        <v>7438.333333333333</v>
      </c>
      <c r="M31" s="16">
        <f t="shared" si="16"/>
        <v>6151.03766478343</v>
      </c>
      <c r="N31" s="17">
        <f t="shared" si="12"/>
        <v>0.30265036898227804</v>
      </c>
      <c r="O31" s="17">
        <f t="shared" si="13"/>
        <v>0.24742801543282822</v>
      </c>
      <c r="P31" s="128">
        <f t="shared" si="13"/>
        <v>0.27510860476743454</v>
      </c>
    </row>
    <row r="32" spans="1:17" ht="14.75" thickBot="1" x14ac:dyDescent="0.75">
      <c r="A32" s="8" t="s">
        <v>13</v>
      </c>
      <c r="B32" s="24">
        <v>59907.94</v>
      </c>
      <c r="C32" s="24">
        <v>76274.040000000008</v>
      </c>
      <c r="D32" s="24">
        <f t="shared" si="14"/>
        <v>136181.98000000001</v>
      </c>
      <c r="E32" s="14">
        <f t="shared" si="6"/>
        <v>0.21074235733410615</v>
      </c>
      <c r="F32" s="14">
        <f t="shared" si="7"/>
        <v>0.15498093726780945</v>
      </c>
      <c r="G32" s="14">
        <f t="shared" si="7"/>
        <v>0.17738049614709278</v>
      </c>
      <c r="H32" s="15">
        <f t="shared" si="8"/>
        <v>3691.7653508771928</v>
      </c>
      <c r="I32" s="15">
        <f t="shared" si="9"/>
        <v>4043.6293859649122</v>
      </c>
      <c r="J32" s="15">
        <f t="shared" si="15"/>
        <v>3867.6973684210529</v>
      </c>
      <c r="K32" s="16">
        <f t="shared" si="10"/>
        <v>17517.908585526315</v>
      </c>
      <c r="L32" s="16">
        <f t="shared" si="11"/>
        <v>26091.140350877205</v>
      </c>
      <c r="M32" s="16">
        <f t="shared" si="16"/>
        <v>21804.524468201762</v>
      </c>
      <c r="N32" s="17">
        <f t="shared" si="12"/>
        <v>0.21074235733410615</v>
      </c>
      <c r="O32" s="17">
        <f t="shared" si="13"/>
        <v>0.15498093726780945</v>
      </c>
      <c r="P32" s="128">
        <f t="shared" si="13"/>
        <v>0.17738049614709278</v>
      </c>
    </row>
    <row r="33" spans="1:16" ht="14.75" thickBot="1" x14ac:dyDescent="0.75">
      <c r="A33" s="8" t="s">
        <v>14</v>
      </c>
      <c r="B33" s="24">
        <v>23537.47</v>
      </c>
      <c r="C33" s="24">
        <v>25365.78</v>
      </c>
      <c r="D33" s="24">
        <f t="shared" si="14"/>
        <v>48903.25</v>
      </c>
      <c r="E33" s="14">
        <f t="shared" si="6"/>
        <v>0.49119896297710247</v>
      </c>
      <c r="F33" s="14">
        <f t="shared" si="7"/>
        <v>0.51642433632273643</v>
      </c>
      <c r="G33" s="14">
        <f t="shared" si="7"/>
        <v>0.50371052556478246</v>
      </c>
      <c r="H33" s="15">
        <f t="shared" si="8"/>
        <v>2505.7318376068383</v>
      </c>
      <c r="I33" s="15">
        <f t="shared" si="9"/>
        <v>2592.5053418803418</v>
      </c>
      <c r="J33" s="15">
        <f t="shared" si="15"/>
        <v>2549.1185897435903</v>
      </c>
      <c r="K33" s="16">
        <f t="shared" si="10"/>
        <v>5101.2563675213705</v>
      </c>
      <c r="L33" s="16">
        <f t="shared" si="11"/>
        <v>5020.106837606837</v>
      </c>
      <c r="M33" s="16">
        <f t="shared" si="16"/>
        <v>5060.6816025641037</v>
      </c>
      <c r="N33" s="17">
        <f t="shared" si="12"/>
        <v>0.49119896297710253</v>
      </c>
      <c r="O33" s="17">
        <f t="shared" si="13"/>
        <v>0.51642433632273643</v>
      </c>
      <c r="P33" s="128">
        <f t="shared" si="13"/>
        <v>0.50371052556478246</v>
      </c>
    </row>
    <row r="34" spans="1:16" ht="14.75" thickBot="1" x14ac:dyDescent="0.75">
      <c r="A34" s="8" t="s">
        <v>15</v>
      </c>
      <c r="B34" s="24">
        <v>50325.110000000008</v>
      </c>
      <c r="C34" s="24">
        <v>62112.219999999994</v>
      </c>
      <c r="D34" s="24">
        <f t="shared" si="14"/>
        <v>112437.33</v>
      </c>
      <c r="E34" s="14">
        <f t="shared" si="6"/>
        <v>0.30642421392863883</v>
      </c>
      <c r="F34" s="14">
        <f t="shared" si="7"/>
        <v>0.30475770669165797</v>
      </c>
      <c r="G34" s="14">
        <f t="shared" si="7"/>
        <v>0.30553387824747846</v>
      </c>
      <c r="H34" s="15">
        <f t="shared" si="8"/>
        <v>3373.2296650717708</v>
      </c>
      <c r="I34" s="15">
        <f t="shared" si="9"/>
        <v>3848.341307814992</v>
      </c>
      <c r="J34" s="15">
        <f t="shared" si="15"/>
        <v>3610.7854864433812</v>
      </c>
      <c r="K34" s="16">
        <f t="shared" si="10"/>
        <v>11008.365239234459</v>
      </c>
      <c r="L34" s="16">
        <f t="shared" si="11"/>
        <v>12627.543859649115</v>
      </c>
      <c r="M34" s="16">
        <f t="shared" si="16"/>
        <v>11817.954549441789</v>
      </c>
      <c r="N34" s="17">
        <f t="shared" si="12"/>
        <v>0.30642421392863878</v>
      </c>
      <c r="O34" s="17">
        <f t="shared" si="13"/>
        <v>0.30475770669165803</v>
      </c>
      <c r="P34" s="128">
        <f t="shared" si="13"/>
        <v>0.30553387824747841</v>
      </c>
    </row>
    <row r="35" spans="1:16" ht="14.75" thickBot="1" x14ac:dyDescent="0.75">
      <c r="A35" s="8" t="s">
        <v>16</v>
      </c>
      <c r="B35" s="24">
        <v>48557.020000000004</v>
      </c>
      <c r="C35" s="24">
        <v>46417.36</v>
      </c>
      <c r="D35" s="24">
        <f t="shared" si="14"/>
        <v>94974.38</v>
      </c>
      <c r="E35" s="14">
        <f t="shared" si="6"/>
        <v>0.44485796032183966</v>
      </c>
      <c r="F35" s="14">
        <f t="shared" si="7"/>
        <v>0.29639189820648748</v>
      </c>
      <c r="G35" s="14">
        <f t="shared" si="7"/>
        <v>0.35958430072774134</v>
      </c>
      <c r="H35" s="15">
        <f t="shared" si="8"/>
        <v>4254.2013888888887</v>
      </c>
      <c r="I35" s="15">
        <f t="shared" si="9"/>
        <v>2458.824404761905</v>
      </c>
      <c r="J35" s="15">
        <f t="shared" si="15"/>
        <v>3161.3632246376815</v>
      </c>
      <c r="K35" s="16">
        <f t="shared" si="10"/>
        <v>9563.0555555555711</v>
      </c>
      <c r="L35" s="16">
        <f t="shared" si="11"/>
        <v>8295.8556547619064</v>
      </c>
      <c r="M35" s="16">
        <f t="shared" si="16"/>
        <v>8791.7164855072533</v>
      </c>
      <c r="N35" s="17">
        <f t="shared" si="12"/>
        <v>0.44485796032183966</v>
      </c>
      <c r="O35" s="17">
        <f t="shared" si="13"/>
        <v>0.29639189820648754</v>
      </c>
      <c r="P35" s="128">
        <f t="shared" si="13"/>
        <v>0.35958430072774134</v>
      </c>
    </row>
    <row r="36" spans="1:16" ht="14.75" thickBot="1" x14ac:dyDescent="0.75">
      <c r="A36" s="8" t="s">
        <v>17</v>
      </c>
      <c r="B36" s="24">
        <v>23045.83</v>
      </c>
      <c r="C36" s="24">
        <v>20330.95</v>
      </c>
      <c r="D36" s="24">
        <f t="shared" si="14"/>
        <v>43376.78</v>
      </c>
      <c r="E36" s="14">
        <f t="shared" si="6"/>
        <v>0.31723210775901473</v>
      </c>
      <c r="F36" s="14">
        <f t="shared" si="7"/>
        <v>0.41906326600307742</v>
      </c>
      <c r="G36" s="14">
        <f t="shared" si="7"/>
        <v>0.36548723216539569</v>
      </c>
      <c r="H36" s="15">
        <f t="shared" si="8"/>
        <v>1168.4951881014874</v>
      </c>
      <c r="I36" s="15">
        <f t="shared" si="9"/>
        <v>2635.3067993366499</v>
      </c>
      <c r="J36" s="15">
        <f t="shared" si="15"/>
        <v>1675.0744558991983</v>
      </c>
      <c r="K36" s="16">
        <f t="shared" si="10"/>
        <v>3683.4076990376211</v>
      </c>
      <c r="L36" s="16">
        <f t="shared" si="11"/>
        <v>6288.5655058043121</v>
      </c>
      <c r="M36" s="16">
        <f t="shared" si="16"/>
        <v>4583.127147766324</v>
      </c>
      <c r="N36" s="17">
        <f t="shared" si="12"/>
        <v>0.31723210775901484</v>
      </c>
      <c r="O36" s="17">
        <f t="shared" si="13"/>
        <v>0.41906326600307747</v>
      </c>
      <c r="P36" s="128">
        <f t="shared" si="13"/>
        <v>0.36548723216539569</v>
      </c>
    </row>
    <row r="37" spans="1:16" ht="14.75" thickBot="1" x14ac:dyDescent="0.75">
      <c r="A37" s="8" t="s">
        <v>18</v>
      </c>
      <c r="B37" s="24">
        <v>96334.789999999935</v>
      </c>
      <c r="C37" s="24">
        <v>113762.34999999999</v>
      </c>
      <c r="D37" s="24">
        <f t="shared" si="14"/>
        <v>210097.13999999993</v>
      </c>
      <c r="E37" s="14">
        <f t="shared" si="6"/>
        <v>0.19348179910838692</v>
      </c>
      <c r="F37" s="14">
        <f t="shared" si="7"/>
        <v>0.14364932735637784</v>
      </c>
      <c r="G37" s="14">
        <f t="shared" si="7"/>
        <v>0.16664412372160195</v>
      </c>
      <c r="H37" s="15">
        <f t="shared" si="8"/>
        <v>3174.7157622739014</v>
      </c>
      <c r="I37" s="15">
        <f t="shared" si="9"/>
        <v>1982.5325884543763</v>
      </c>
      <c r="J37" s="15">
        <f t="shared" si="15"/>
        <v>2481.8560606060601</v>
      </c>
      <c r="K37" s="16">
        <f t="shared" si="10"/>
        <v>16408.343197674378</v>
      </c>
      <c r="L37" s="16">
        <f t="shared" si="11"/>
        <v>13801.196461824953</v>
      </c>
      <c r="M37" s="16">
        <f t="shared" si="16"/>
        <v>14893.150776515135</v>
      </c>
      <c r="N37" s="17">
        <f t="shared" si="12"/>
        <v>0.19348179910838695</v>
      </c>
      <c r="O37" s="17">
        <f t="shared" si="13"/>
        <v>0.14364932735637784</v>
      </c>
      <c r="P37" s="128">
        <f t="shared" si="13"/>
        <v>0.16664412372160195</v>
      </c>
    </row>
    <row r="38" spans="1:16" ht="14.75" thickBot="1" x14ac:dyDescent="0.75">
      <c r="A38" s="8" t="s">
        <v>19</v>
      </c>
      <c r="B38" s="24">
        <v>22608.940009999998</v>
      </c>
      <c r="C38" s="24">
        <v>22564.32</v>
      </c>
      <c r="D38" s="24">
        <f t="shared" si="14"/>
        <v>45173.260009999998</v>
      </c>
      <c r="E38" s="14">
        <f t="shared" si="6"/>
        <v>0.41562695159966401</v>
      </c>
      <c r="F38" s="14">
        <f t="shared" si="7"/>
        <v>0.40691409283235347</v>
      </c>
      <c r="G38" s="14">
        <f t="shared" si="7"/>
        <v>0.41158937727489298</v>
      </c>
      <c r="H38" s="15">
        <f t="shared" si="8"/>
        <v>2675.7488986784138</v>
      </c>
      <c r="I38" s="15">
        <f t="shared" si="9"/>
        <v>2262.3348017621142</v>
      </c>
      <c r="J38" s="15">
        <f t="shared" si="15"/>
        <v>2469.0418502202642</v>
      </c>
      <c r="K38" s="16">
        <f t="shared" si="10"/>
        <v>6437.8618575624087</v>
      </c>
      <c r="L38" s="16">
        <f t="shared" si="11"/>
        <v>5559.7356828193833</v>
      </c>
      <c r="M38" s="16">
        <f t="shared" si="16"/>
        <v>5998.798770190896</v>
      </c>
      <c r="N38" s="17">
        <f t="shared" si="12"/>
        <v>0.41562695159966395</v>
      </c>
      <c r="O38" s="17">
        <f t="shared" si="13"/>
        <v>0.40691409283235341</v>
      </c>
      <c r="P38" s="128">
        <f t="shared" si="13"/>
        <v>0.41158937727489292</v>
      </c>
    </row>
    <row r="39" spans="1:16" ht="14.75" thickBot="1" x14ac:dyDescent="0.75">
      <c r="A39" s="8" t="s">
        <v>20</v>
      </c>
      <c r="B39" s="24">
        <v>81865.289999999994</v>
      </c>
      <c r="C39" s="24">
        <v>123106.71</v>
      </c>
      <c r="D39" s="24">
        <f t="shared" si="14"/>
        <v>204972</v>
      </c>
      <c r="E39" s="14">
        <f t="shared" si="6"/>
        <v>0.35580467283085199</v>
      </c>
      <c r="F39" s="14">
        <f t="shared" si="7"/>
        <v>0.30257118707226399</v>
      </c>
      <c r="G39" s="14">
        <f t="shared" si="7"/>
        <v>0.32305617777931117</v>
      </c>
      <c r="H39" s="15">
        <f t="shared" si="8"/>
        <v>3032.8520877565461</v>
      </c>
      <c r="I39" s="15">
        <f t="shared" si="9"/>
        <v>4123.0891719745223</v>
      </c>
      <c r="J39" s="15">
        <f t="shared" si="15"/>
        <v>3577.9706298655351</v>
      </c>
      <c r="K39" s="16">
        <f t="shared" si="10"/>
        <v>8523.9242745930751</v>
      </c>
      <c r="L39" s="16">
        <f t="shared" si="11"/>
        <v>13626.840056617133</v>
      </c>
      <c r="M39" s="16">
        <f t="shared" si="16"/>
        <v>11075.382165605102</v>
      </c>
      <c r="N39" s="17">
        <f t="shared" si="12"/>
        <v>0.35580467283085193</v>
      </c>
      <c r="O39" s="17">
        <f t="shared" si="13"/>
        <v>0.30257118707226394</v>
      </c>
      <c r="P39" s="128">
        <f t="shared" si="13"/>
        <v>0.32305617777931123</v>
      </c>
    </row>
    <row r="40" spans="1:16" ht="14.75" thickBot="1" x14ac:dyDescent="0.75">
      <c r="A40" s="8" t="s">
        <v>21</v>
      </c>
      <c r="B40" s="24">
        <v>44907.179999999993</v>
      </c>
      <c r="C40" s="24">
        <v>41945.090000000004</v>
      </c>
      <c r="D40" s="24">
        <f t="shared" si="14"/>
        <v>86852.26999999999</v>
      </c>
      <c r="E40" s="14">
        <f t="shared" si="6"/>
        <v>0.15648563748527244</v>
      </c>
      <c r="F40" s="14">
        <f t="shared" si="7"/>
        <v>0.23211396170748552</v>
      </c>
      <c r="G40" s="14">
        <f t="shared" si="7"/>
        <v>0.1926334607212036</v>
      </c>
      <c r="H40" s="15">
        <f t="shared" si="8"/>
        <v>2343.2210708117441</v>
      </c>
      <c r="I40" s="15">
        <f t="shared" si="9"/>
        <v>3182.2884283246981</v>
      </c>
      <c r="J40" s="15">
        <f t="shared" si="15"/>
        <v>2762.7547495682211</v>
      </c>
      <c r="K40" s="16">
        <f t="shared" si="10"/>
        <v>14974.032815198616</v>
      </c>
      <c r="L40" s="16">
        <f t="shared" si="11"/>
        <v>13710.025906735757</v>
      </c>
      <c r="M40" s="16">
        <f t="shared" si="16"/>
        <v>14342.029360967184</v>
      </c>
      <c r="N40" s="17">
        <f t="shared" si="12"/>
        <v>0.15648563748527244</v>
      </c>
      <c r="O40" s="17">
        <f t="shared" si="13"/>
        <v>0.23211396170748555</v>
      </c>
      <c r="P40" s="128">
        <f t="shared" si="13"/>
        <v>0.1926334607212036</v>
      </c>
    </row>
    <row r="41" spans="1:16" ht="14.75" thickBot="1" x14ac:dyDescent="0.75">
      <c r="A41" s="8" t="s">
        <v>22</v>
      </c>
      <c r="B41" s="24">
        <v>56287.15</v>
      </c>
      <c r="C41" s="24">
        <v>34888.179999999993</v>
      </c>
      <c r="D41" s="24">
        <f t="shared" si="14"/>
        <v>91175.329999999987</v>
      </c>
      <c r="E41" s="14">
        <f t="shared" si="6"/>
        <v>0.21837069558419489</v>
      </c>
      <c r="F41" s="14">
        <f t="shared" si="7"/>
        <v>0.34425738809652884</v>
      </c>
      <c r="G41" s="14">
        <f t="shared" si="7"/>
        <v>0.26367388159546207</v>
      </c>
      <c r="H41" s="15">
        <f t="shared" si="8"/>
        <v>3273.689393939394</v>
      </c>
      <c r="I41" s="15">
        <f t="shared" si="9"/>
        <v>2901.4090909090905</v>
      </c>
      <c r="J41" s="15">
        <f t="shared" si="15"/>
        <v>3087.5492424242425</v>
      </c>
      <c r="K41" s="16">
        <f t="shared" si="10"/>
        <v>14991.431818181816</v>
      </c>
      <c r="L41" s="16">
        <f t="shared" si="11"/>
        <v>8428.0227272727225</v>
      </c>
      <c r="M41" s="16">
        <f t="shared" si="16"/>
        <v>11709.72727272727</v>
      </c>
      <c r="N41" s="17">
        <f t="shared" si="12"/>
        <v>0.21837069558419483</v>
      </c>
      <c r="O41" s="17">
        <f t="shared" si="13"/>
        <v>0.34425738809652878</v>
      </c>
      <c r="P41" s="128">
        <f t="shared" si="13"/>
        <v>0.26367388159546201</v>
      </c>
    </row>
    <row r="42" spans="1:16" ht="14.75" thickBot="1" x14ac:dyDescent="0.75">
      <c r="A42" s="8" t="s">
        <v>23</v>
      </c>
      <c r="B42" s="24">
        <v>25153.569999999992</v>
      </c>
      <c r="C42" s="24">
        <v>20446.810000000001</v>
      </c>
      <c r="D42" s="24">
        <f t="shared" si="14"/>
        <v>45600.37999999999</v>
      </c>
      <c r="E42" s="14">
        <f t="shared" si="6"/>
        <v>0.49679374386550051</v>
      </c>
      <c r="F42" s="14">
        <f t="shared" si="7"/>
        <v>0.51947907912536273</v>
      </c>
      <c r="G42" s="14">
        <f t="shared" si="7"/>
        <v>0.50700928169722503</v>
      </c>
      <c r="H42" s="15">
        <f t="shared" si="8"/>
        <v>3460.0267379679149</v>
      </c>
      <c r="I42" s="15">
        <f t="shared" si="9"/>
        <v>2963.966131907308</v>
      </c>
      <c r="J42" s="15">
        <f t="shared" si="15"/>
        <v>3211.9964349376114</v>
      </c>
      <c r="K42" s="16">
        <f t="shared" si="10"/>
        <v>6964.714795008902</v>
      </c>
      <c r="L42" s="16">
        <f t="shared" si="11"/>
        <v>5705.6506238859183</v>
      </c>
      <c r="M42" s="16">
        <f t="shared" si="16"/>
        <v>6335.1827094474102</v>
      </c>
      <c r="N42" s="129">
        <f t="shared" si="12"/>
        <v>0.49679374386550057</v>
      </c>
      <c r="O42" s="129">
        <f t="shared" si="13"/>
        <v>0.51947907912536273</v>
      </c>
      <c r="P42" s="130">
        <f t="shared" si="13"/>
        <v>0.50700928169722503</v>
      </c>
    </row>
    <row r="43" spans="1:16" s="21" customFormat="1" ht="14.75" thickBot="1" x14ac:dyDescent="0.75">
      <c r="A43" s="9" t="s">
        <v>24</v>
      </c>
      <c r="B43" s="25">
        <f>SUM(B27:B42)</f>
        <v>980001.34000999993</v>
      </c>
      <c r="C43" s="25">
        <f>SUM(C27:C42)</f>
        <v>952633.8899999999</v>
      </c>
      <c r="D43" s="25">
        <f>SUM(B43:C43)</f>
        <v>1932635.2300099998</v>
      </c>
      <c r="E43" s="18">
        <f t="shared" si="6"/>
        <v>0.29122355518967169</v>
      </c>
      <c r="F43" s="18">
        <f t="shared" si="7"/>
        <v>0.25572877322605819</v>
      </c>
      <c r="G43" s="18"/>
      <c r="H43" s="19">
        <f t="shared" si="8"/>
        <v>2938.0900753866481</v>
      </c>
      <c r="I43" s="19">
        <f t="shared" si="9"/>
        <v>2976.6298633017886</v>
      </c>
      <c r="J43" s="132">
        <f t="shared" si="15"/>
        <v>2956.9750297265164</v>
      </c>
      <c r="K43" s="20">
        <f t="shared" si="10"/>
        <v>10088.778957021837</v>
      </c>
      <c r="L43" s="20">
        <f t="shared" si="11"/>
        <v>11639.792526085903</v>
      </c>
      <c r="M43" s="133">
        <f t="shared" si="16"/>
        <v>10848.794048355132</v>
      </c>
      <c r="N43" s="134">
        <f t="shared" si="12"/>
        <v>0.29122355518967175</v>
      </c>
      <c r="O43" s="135">
        <f t="shared" si="13"/>
        <v>0.25572877322605819</v>
      </c>
      <c r="P43" s="135">
        <f t="shared" si="13"/>
        <v>0.27256255548282304</v>
      </c>
    </row>
    <row r="44" spans="1:16" ht="51" customHeight="1" x14ac:dyDescent="0.6"/>
  </sheetData>
  <mergeCells count="15">
    <mergeCell ref="A25:A26"/>
    <mergeCell ref="A2:O2"/>
    <mergeCell ref="A3:O3"/>
    <mergeCell ref="A4:I4"/>
    <mergeCell ref="A5:A6"/>
    <mergeCell ref="B5:D5"/>
    <mergeCell ref="E5:G5"/>
    <mergeCell ref="H5:J5"/>
    <mergeCell ref="K5:M5"/>
    <mergeCell ref="N5:P5"/>
    <mergeCell ref="B25:D25"/>
    <mergeCell ref="E25:G25"/>
    <mergeCell ref="H25:J25"/>
    <mergeCell ref="K25:M25"/>
    <mergeCell ref="N25:P25"/>
  </mergeCells>
  <pageMargins left="0.51181102362204722" right="0.31496062992125984" top="0.35433070866141736" bottom="0.35433070866141736" header="0.31496062992125984" footer="0.31496062992125984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W61"/>
  <sheetViews>
    <sheetView tabSelected="1" topLeftCell="B1" zoomScale="130" zoomScaleNormal="130" workbookViewId="0">
      <pane ySplit="1" topLeftCell="A17" activePane="bottomLeft" state="frozen"/>
      <selection activeCell="B1" sqref="B1"/>
      <selection pane="bottomLeft" activeCell="W40" sqref="W40"/>
    </sheetView>
  </sheetViews>
  <sheetFormatPr baseColWidth="10" defaultRowHeight="13" x14ac:dyDescent="0.6"/>
  <cols>
    <col min="1" max="1" width="4" hidden="1" customWidth="1"/>
    <col min="2" max="2" width="14.26953125" customWidth="1"/>
    <col min="3" max="3" width="13.1328125" style="23" customWidth="1"/>
    <col min="4" max="4" width="13" hidden="1" customWidth="1"/>
    <col min="5" max="5" width="13.7265625" hidden="1" customWidth="1"/>
    <col min="6" max="6" width="15.26953125" hidden="1" customWidth="1"/>
    <col min="7" max="7" width="11.7265625" hidden="1" customWidth="1"/>
    <col min="8" max="8" width="13.40625" hidden="1" customWidth="1"/>
    <col min="9" max="9" width="13.54296875" hidden="1" customWidth="1"/>
    <col min="10" max="10" width="12.86328125" customWidth="1"/>
    <col min="11" max="11" width="12.54296875" hidden="1" customWidth="1"/>
    <col min="12" max="12" width="13.7265625" hidden="1" customWidth="1"/>
    <col min="13" max="13" width="12.86328125" hidden="1" customWidth="1"/>
    <col min="14" max="14" width="13.86328125" hidden="1" customWidth="1"/>
    <col min="15" max="15" width="15" hidden="1" customWidth="1"/>
    <col min="16" max="16" width="12.54296875" hidden="1" customWidth="1"/>
    <col min="17" max="17" width="13.40625" hidden="1" customWidth="1"/>
    <col min="18" max="18" width="12.86328125" hidden="1" customWidth="1"/>
    <col min="19" max="19" width="13.40625" hidden="1" customWidth="1"/>
    <col min="20" max="20" width="14.1328125" hidden="1" customWidth="1"/>
    <col min="21" max="21" width="0" hidden="1" customWidth="1"/>
    <col min="22" max="65" width="11.40625"/>
  </cols>
  <sheetData>
    <row r="1" spans="2:23" x14ac:dyDescent="0.6">
      <c r="D1">
        <v>366</v>
      </c>
      <c r="E1">
        <v>375</v>
      </c>
      <c r="F1">
        <v>226</v>
      </c>
      <c r="G1">
        <v>35</v>
      </c>
      <c r="H1">
        <f>520-71</f>
        <v>449</v>
      </c>
      <c r="I1">
        <v>152</v>
      </c>
      <c r="J1">
        <v>312</v>
      </c>
      <c r="K1">
        <v>209</v>
      </c>
      <c r="L1">
        <v>224</v>
      </c>
      <c r="M1">
        <v>201</v>
      </c>
      <c r="N1">
        <v>358</v>
      </c>
      <c r="O1">
        <v>227</v>
      </c>
      <c r="P1">
        <v>471</v>
      </c>
      <c r="Q1">
        <v>193</v>
      </c>
      <c r="R1">
        <v>220</v>
      </c>
      <c r="S1">
        <v>187</v>
      </c>
      <c r="T1">
        <f>SUM(D1:S1)</f>
        <v>4205</v>
      </c>
    </row>
    <row r="2" spans="2:23" ht="13.75" thickBot="1" x14ac:dyDescent="0.75">
      <c r="B2" s="424" t="s">
        <v>75</v>
      </c>
      <c r="C2" s="425"/>
      <c r="D2">
        <f>D35-D1</f>
        <v>6</v>
      </c>
      <c r="E2">
        <f t="shared" ref="E2:T2" si="0">E35-E1</f>
        <v>-66</v>
      </c>
      <c r="F2">
        <f t="shared" si="0"/>
        <v>9</v>
      </c>
      <c r="G2">
        <f t="shared" si="0"/>
        <v>21</v>
      </c>
      <c r="H2">
        <f t="shared" si="0"/>
        <v>-85</v>
      </c>
      <c r="I2">
        <f t="shared" si="0"/>
        <v>21</v>
      </c>
      <c r="J2">
        <f t="shared" si="0"/>
        <v>9</v>
      </c>
      <c r="K2">
        <f t="shared" si="0"/>
        <v>2</v>
      </c>
      <c r="L2">
        <f t="shared" si="0"/>
        <v>2</v>
      </c>
      <c r="M2">
        <f t="shared" si="0"/>
        <v>2</v>
      </c>
      <c r="N2">
        <f>N35-N1</f>
        <v>10</v>
      </c>
      <c r="O2">
        <f t="shared" si="0"/>
        <v>1</v>
      </c>
      <c r="P2">
        <f t="shared" si="0"/>
        <v>12</v>
      </c>
      <c r="Q2">
        <f t="shared" si="0"/>
        <v>10</v>
      </c>
      <c r="R2">
        <f t="shared" si="0"/>
        <v>10</v>
      </c>
      <c r="S2">
        <f t="shared" si="0"/>
        <v>39</v>
      </c>
      <c r="T2">
        <f t="shared" si="0"/>
        <v>3</v>
      </c>
    </row>
    <row r="3" spans="2:23" x14ac:dyDescent="0.6">
      <c r="B3" s="428" t="s">
        <v>31</v>
      </c>
      <c r="C3" s="429" t="s">
        <v>32</v>
      </c>
      <c r="D3" s="430" t="s">
        <v>58</v>
      </c>
      <c r="E3" s="431" t="s">
        <v>59</v>
      </c>
      <c r="F3" s="431" t="s">
        <v>60</v>
      </c>
      <c r="G3" s="431" t="s">
        <v>61</v>
      </c>
      <c r="H3" s="431" t="s">
        <v>62</v>
      </c>
      <c r="I3" s="431" t="s">
        <v>63</v>
      </c>
      <c r="J3" s="432" t="s">
        <v>64</v>
      </c>
      <c r="K3" s="346" t="s">
        <v>65</v>
      </c>
      <c r="L3" s="342" t="s">
        <v>66</v>
      </c>
      <c r="M3" s="342" t="s">
        <v>67</v>
      </c>
      <c r="N3" s="345" t="s">
        <v>68</v>
      </c>
      <c r="O3" s="342" t="s">
        <v>69</v>
      </c>
      <c r="P3" s="342" t="s">
        <v>70</v>
      </c>
      <c r="Q3" s="342" t="s">
        <v>71</v>
      </c>
      <c r="R3" s="342" t="s">
        <v>72</v>
      </c>
      <c r="S3" s="342" t="s">
        <v>73</v>
      </c>
      <c r="T3" s="342" t="s">
        <v>74</v>
      </c>
    </row>
    <row r="4" spans="2:23" ht="13.75" thickBot="1" x14ac:dyDescent="0.75">
      <c r="B4" s="433"/>
      <c r="C4" s="434"/>
      <c r="D4" s="435"/>
      <c r="E4" s="436"/>
      <c r="F4" s="436"/>
      <c r="G4" s="436"/>
      <c r="H4" s="436"/>
      <c r="I4" s="436"/>
      <c r="J4" s="437"/>
      <c r="K4" s="346"/>
      <c r="L4" s="342"/>
      <c r="M4" s="342"/>
      <c r="N4" s="345"/>
      <c r="O4" s="342"/>
      <c r="P4" s="342"/>
      <c r="Q4" s="342"/>
      <c r="R4" s="342"/>
      <c r="S4" s="342"/>
      <c r="T4" s="342"/>
    </row>
    <row r="5" spans="2:23" x14ac:dyDescent="0.6">
      <c r="B5" s="414" t="s">
        <v>33</v>
      </c>
      <c r="C5" s="415">
        <v>3210</v>
      </c>
      <c r="D5" s="426">
        <v>3</v>
      </c>
      <c r="E5" s="427">
        <v>4</v>
      </c>
      <c r="F5" s="427">
        <v>3</v>
      </c>
      <c r="G5" s="427">
        <v>3</v>
      </c>
      <c r="H5" s="427">
        <v>2</v>
      </c>
      <c r="I5" s="427">
        <v>2</v>
      </c>
      <c r="J5" s="427">
        <v>4</v>
      </c>
      <c r="K5" s="297">
        <v>4</v>
      </c>
      <c r="L5" s="297">
        <v>4</v>
      </c>
      <c r="M5" s="297">
        <v>4</v>
      </c>
      <c r="N5" s="313">
        <v>4</v>
      </c>
      <c r="O5" s="297">
        <v>3</v>
      </c>
      <c r="P5" s="297">
        <v>4</v>
      </c>
      <c r="Q5" s="297">
        <v>4</v>
      </c>
      <c r="R5" s="297">
        <v>4</v>
      </c>
      <c r="S5" s="297">
        <v>4</v>
      </c>
      <c r="T5" s="297">
        <f>SUM(D5:S5)</f>
        <v>56</v>
      </c>
      <c r="W5" s="303"/>
    </row>
    <row r="6" spans="2:23" x14ac:dyDescent="0.6">
      <c r="B6" s="304" t="s">
        <v>34</v>
      </c>
      <c r="C6" s="305">
        <v>3362.8571428571431</v>
      </c>
      <c r="D6" s="302">
        <v>12</v>
      </c>
      <c r="E6" s="297">
        <v>14</v>
      </c>
      <c r="F6" s="297">
        <v>19</v>
      </c>
      <c r="G6" s="297">
        <v>4</v>
      </c>
      <c r="H6" s="297">
        <v>38</v>
      </c>
      <c r="I6" s="297">
        <v>7</v>
      </c>
      <c r="J6" s="297">
        <v>39</v>
      </c>
      <c r="K6" s="297">
        <v>18</v>
      </c>
      <c r="L6" s="297">
        <v>3</v>
      </c>
      <c r="M6" s="297">
        <v>28</v>
      </c>
      <c r="N6" s="313">
        <v>12</v>
      </c>
      <c r="O6" s="297">
        <v>23</v>
      </c>
      <c r="P6" s="297">
        <v>28</v>
      </c>
      <c r="Q6" s="297">
        <v>12</v>
      </c>
      <c r="R6" s="297">
        <v>28</v>
      </c>
      <c r="S6" s="297">
        <v>25</v>
      </c>
      <c r="T6" s="297">
        <f t="shared" ref="T6:T33" si="1">SUM(D6:S6)</f>
        <v>310</v>
      </c>
    </row>
    <row r="7" spans="2:23" x14ac:dyDescent="0.6">
      <c r="B7" s="304" t="s">
        <v>35</v>
      </c>
      <c r="C7" s="305">
        <v>3515.7142857142858</v>
      </c>
      <c r="D7" s="302">
        <v>15</v>
      </c>
      <c r="E7" s="297">
        <v>23</v>
      </c>
      <c r="F7" s="297">
        <v>18</v>
      </c>
      <c r="G7" s="297">
        <v>3</v>
      </c>
      <c r="H7" s="297">
        <v>37</v>
      </c>
      <c r="I7" s="297">
        <v>12</v>
      </c>
      <c r="J7" s="297">
        <v>40</v>
      </c>
      <c r="K7" s="297">
        <v>22</v>
      </c>
      <c r="L7" s="297">
        <v>15</v>
      </c>
      <c r="M7" s="297">
        <v>17</v>
      </c>
      <c r="N7" s="313">
        <v>44</v>
      </c>
      <c r="O7" s="297">
        <v>13</v>
      </c>
      <c r="P7" s="297">
        <v>32</v>
      </c>
      <c r="Q7" s="297">
        <v>15</v>
      </c>
      <c r="R7" s="297">
        <v>19</v>
      </c>
      <c r="S7" s="297">
        <v>21</v>
      </c>
      <c r="T7" s="297">
        <f t="shared" si="1"/>
        <v>346</v>
      </c>
    </row>
    <row r="8" spans="2:23" x14ac:dyDescent="0.6">
      <c r="B8" s="304" t="s">
        <v>36</v>
      </c>
      <c r="C8" s="305">
        <v>3699.1428571428569</v>
      </c>
      <c r="D8" s="302">
        <v>24</v>
      </c>
      <c r="E8" s="297">
        <v>30</v>
      </c>
      <c r="F8" s="297">
        <v>19</v>
      </c>
      <c r="G8" s="297">
        <v>4</v>
      </c>
      <c r="H8" s="297">
        <v>44</v>
      </c>
      <c r="I8" s="297">
        <v>18</v>
      </c>
      <c r="J8" s="297">
        <v>28</v>
      </c>
      <c r="K8" s="297">
        <v>18</v>
      </c>
      <c r="L8" s="297">
        <v>1</v>
      </c>
      <c r="M8" s="297">
        <v>31</v>
      </c>
      <c r="N8" s="313">
        <v>47</v>
      </c>
      <c r="O8" s="297">
        <v>5</v>
      </c>
      <c r="P8" s="297">
        <v>45</v>
      </c>
      <c r="Q8" s="297">
        <v>1</v>
      </c>
      <c r="R8" s="297">
        <v>18</v>
      </c>
      <c r="S8" s="297">
        <v>22</v>
      </c>
      <c r="T8" s="297">
        <f t="shared" si="1"/>
        <v>355</v>
      </c>
    </row>
    <row r="9" spans="2:23" x14ac:dyDescent="0.6">
      <c r="B9" s="304" t="s">
        <v>37</v>
      </c>
      <c r="C9" s="305">
        <v>3882.5714285714284</v>
      </c>
      <c r="D9" s="302">
        <v>81</v>
      </c>
      <c r="E9" s="297">
        <v>38</v>
      </c>
      <c r="F9" s="297">
        <v>16</v>
      </c>
      <c r="G9" s="297">
        <v>1</v>
      </c>
      <c r="H9" s="297">
        <v>37</v>
      </c>
      <c r="I9" s="297">
        <v>18</v>
      </c>
      <c r="J9" s="297">
        <v>80</v>
      </c>
      <c r="K9" s="297">
        <v>40</v>
      </c>
      <c r="L9" s="297">
        <v>52</v>
      </c>
      <c r="M9" s="297">
        <v>35</v>
      </c>
      <c r="N9" s="313">
        <v>81</v>
      </c>
      <c r="O9" s="297">
        <v>43</v>
      </c>
      <c r="P9" s="297">
        <v>63</v>
      </c>
      <c r="Q9" s="297">
        <v>40</v>
      </c>
      <c r="R9" s="297">
        <v>48</v>
      </c>
      <c r="S9" s="297">
        <v>40</v>
      </c>
      <c r="T9" s="297">
        <f t="shared" si="1"/>
        <v>713</v>
      </c>
    </row>
    <row r="10" spans="2:23" x14ac:dyDescent="0.6">
      <c r="B10" s="304" t="s">
        <v>38</v>
      </c>
      <c r="C10" s="305">
        <v>4065.9999999999995</v>
      </c>
      <c r="D10" s="302">
        <v>90</v>
      </c>
      <c r="E10" s="297">
        <v>74</v>
      </c>
      <c r="F10" s="297">
        <v>35</v>
      </c>
      <c r="G10" s="297"/>
      <c r="H10" s="297">
        <v>37</v>
      </c>
      <c r="I10" s="297">
        <v>25</v>
      </c>
      <c r="J10" s="297">
        <v>41</v>
      </c>
      <c r="K10" s="297">
        <v>23</v>
      </c>
      <c r="L10" s="297">
        <v>58</v>
      </c>
      <c r="M10" s="297">
        <v>37</v>
      </c>
      <c r="N10" s="313">
        <v>75</v>
      </c>
      <c r="O10" s="297">
        <v>45</v>
      </c>
      <c r="P10" s="297">
        <v>17</v>
      </c>
      <c r="Q10" s="297">
        <v>46</v>
      </c>
      <c r="R10" s="297">
        <v>57</v>
      </c>
      <c r="S10" s="297">
        <v>45</v>
      </c>
      <c r="T10" s="297">
        <f t="shared" si="1"/>
        <v>705</v>
      </c>
    </row>
    <row r="11" spans="2:23" x14ac:dyDescent="0.6">
      <c r="B11" s="304" t="s">
        <v>39</v>
      </c>
      <c r="C11" s="305">
        <v>4295.2857142857138</v>
      </c>
      <c r="D11" s="302">
        <v>20</v>
      </c>
      <c r="E11" s="297">
        <v>15</v>
      </c>
      <c r="F11" s="297">
        <v>4</v>
      </c>
      <c r="G11" s="297">
        <v>4</v>
      </c>
      <c r="H11" s="297">
        <v>27</v>
      </c>
      <c r="I11" s="297">
        <v>17</v>
      </c>
      <c r="J11" s="297"/>
      <c r="K11" s="297">
        <v>14</v>
      </c>
      <c r="L11" s="297">
        <v>25</v>
      </c>
      <c r="M11" s="297">
        <v>11</v>
      </c>
      <c r="N11" s="313">
        <v>6</v>
      </c>
      <c r="O11" s="297">
        <v>17</v>
      </c>
      <c r="P11" s="297"/>
      <c r="Q11" s="297">
        <v>17</v>
      </c>
      <c r="R11" s="297">
        <v>1</v>
      </c>
      <c r="S11" s="297">
        <v>15</v>
      </c>
      <c r="T11" s="297">
        <f t="shared" si="1"/>
        <v>193</v>
      </c>
    </row>
    <row r="12" spans="2:23" x14ac:dyDescent="0.6">
      <c r="B12" s="304" t="s">
        <v>40</v>
      </c>
      <c r="C12" s="305">
        <v>4524.5714285714275</v>
      </c>
      <c r="D12" s="302">
        <v>22</v>
      </c>
      <c r="E12" s="297">
        <v>15</v>
      </c>
      <c r="F12" s="297">
        <v>22</v>
      </c>
      <c r="G12" s="297">
        <v>3</v>
      </c>
      <c r="H12" s="297">
        <v>24</v>
      </c>
      <c r="I12" s="297">
        <v>15</v>
      </c>
      <c r="J12" s="297">
        <v>28</v>
      </c>
      <c r="K12" s="297">
        <v>18</v>
      </c>
      <c r="L12" s="297">
        <v>1</v>
      </c>
      <c r="M12" s="297">
        <v>10</v>
      </c>
      <c r="N12" s="313">
        <v>26</v>
      </c>
      <c r="O12" s="297">
        <v>15</v>
      </c>
      <c r="P12" s="297">
        <v>50</v>
      </c>
      <c r="Q12" s="297">
        <v>4</v>
      </c>
      <c r="R12" s="297">
        <v>10</v>
      </c>
      <c r="S12" s="297">
        <v>17</v>
      </c>
      <c r="T12" s="297">
        <f t="shared" si="1"/>
        <v>280</v>
      </c>
    </row>
    <row r="13" spans="2:23" x14ac:dyDescent="0.6">
      <c r="B13" s="304" t="s">
        <v>41</v>
      </c>
      <c r="C13" s="305">
        <v>4753.8571428571413</v>
      </c>
      <c r="D13" s="302">
        <v>30</v>
      </c>
      <c r="E13" s="297">
        <v>17</v>
      </c>
      <c r="F13" s="297">
        <v>15</v>
      </c>
      <c r="G13" s="297"/>
      <c r="H13" s="297">
        <v>36</v>
      </c>
      <c r="I13" s="297">
        <v>10</v>
      </c>
      <c r="J13" s="297">
        <v>11</v>
      </c>
      <c r="K13" s="297">
        <v>4</v>
      </c>
      <c r="L13" s="297">
        <v>1</v>
      </c>
      <c r="M13" s="297">
        <v>7</v>
      </c>
      <c r="N13" s="313">
        <v>10</v>
      </c>
      <c r="O13" s="297">
        <v>11</v>
      </c>
      <c r="P13" s="297">
        <v>51</v>
      </c>
      <c r="Q13" s="297">
        <v>4</v>
      </c>
      <c r="R13" s="297">
        <v>7</v>
      </c>
      <c r="S13" s="297">
        <v>1</v>
      </c>
      <c r="T13" s="297">
        <f t="shared" si="1"/>
        <v>215</v>
      </c>
    </row>
    <row r="14" spans="2:23" x14ac:dyDescent="0.6">
      <c r="B14" s="304" t="s">
        <v>42</v>
      </c>
      <c r="C14" s="305">
        <v>4983.1428571428551</v>
      </c>
      <c r="D14" s="302">
        <v>24</v>
      </c>
      <c r="E14" s="297">
        <v>25</v>
      </c>
      <c r="F14" s="297">
        <v>13</v>
      </c>
      <c r="G14" s="297"/>
      <c r="H14" s="297">
        <v>16</v>
      </c>
      <c r="I14" s="297">
        <v>21</v>
      </c>
      <c r="J14" s="297">
        <v>20</v>
      </c>
      <c r="K14" s="297">
        <v>12</v>
      </c>
      <c r="L14" s="297">
        <v>3</v>
      </c>
      <c r="M14" s="297">
        <v>4</v>
      </c>
      <c r="N14" s="313">
        <v>10</v>
      </c>
      <c r="O14" s="297">
        <v>12</v>
      </c>
      <c r="P14" s="297">
        <v>50</v>
      </c>
      <c r="Q14" s="297">
        <v>3</v>
      </c>
      <c r="R14" s="297">
        <v>4</v>
      </c>
      <c r="S14" s="297">
        <v>6</v>
      </c>
      <c r="T14" s="297">
        <f t="shared" si="1"/>
        <v>223</v>
      </c>
    </row>
    <row r="15" spans="2:23" x14ac:dyDescent="0.6">
      <c r="B15" s="304" t="s">
        <v>43</v>
      </c>
      <c r="C15" s="305">
        <v>5212.4285714285688</v>
      </c>
      <c r="D15" s="302">
        <v>17</v>
      </c>
      <c r="E15" s="297">
        <v>21</v>
      </c>
      <c r="F15" s="297">
        <v>24</v>
      </c>
      <c r="G15" s="297"/>
      <c r="H15" s="297">
        <v>36</v>
      </c>
      <c r="I15" s="297">
        <v>13</v>
      </c>
      <c r="J15" s="297">
        <v>16</v>
      </c>
      <c r="K15" s="297">
        <v>15</v>
      </c>
      <c r="L15" s="297">
        <v>31</v>
      </c>
      <c r="M15" s="297">
        <v>8</v>
      </c>
      <c r="N15" s="313">
        <v>40</v>
      </c>
      <c r="O15" s="297">
        <v>24</v>
      </c>
      <c r="P15" s="297">
        <v>52</v>
      </c>
      <c r="Q15" s="297">
        <v>27</v>
      </c>
      <c r="R15" s="297">
        <v>22</v>
      </c>
      <c r="S15" s="297">
        <v>18</v>
      </c>
      <c r="T15" s="297">
        <f t="shared" si="1"/>
        <v>364</v>
      </c>
    </row>
    <row r="16" spans="2:23" x14ac:dyDescent="0.6">
      <c r="B16" s="304" t="s">
        <v>44</v>
      </c>
      <c r="C16" s="305">
        <v>5518.1428571428542</v>
      </c>
      <c r="D16" s="302">
        <v>14</v>
      </c>
      <c r="E16" s="297">
        <v>15</v>
      </c>
      <c r="F16" s="297">
        <v>35</v>
      </c>
      <c r="G16" s="297"/>
      <c r="H16" s="297"/>
      <c r="I16" s="297"/>
      <c r="J16" s="297">
        <v>4</v>
      </c>
      <c r="K16" s="297">
        <v>10</v>
      </c>
      <c r="L16" s="297">
        <v>12</v>
      </c>
      <c r="M16" s="297">
        <v>1</v>
      </c>
      <c r="N16" s="313">
        <v>4</v>
      </c>
      <c r="O16" s="297">
        <v>6</v>
      </c>
      <c r="P16" s="297">
        <v>40</v>
      </c>
      <c r="Q16" s="297">
        <v>12</v>
      </c>
      <c r="R16" s="297">
        <v>1</v>
      </c>
      <c r="S16" s="297">
        <v>1</v>
      </c>
      <c r="T16" s="297">
        <f t="shared" si="1"/>
        <v>155</v>
      </c>
    </row>
    <row r="17" spans="2:20" x14ac:dyDescent="0.6">
      <c r="B17" s="304" t="s">
        <v>45</v>
      </c>
      <c r="C17" s="305">
        <v>5823.8571428571395</v>
      </c>
      <c r="D17" s="302">
        <v>10</v>
      </c>
      <c r="E17" s="297">
        <v>10</v>
      </c>
      <c r="F17" s="297">
        <v>6</v>
      </c>
      <c r="G17" s="297">
        <v>16</v>
      </c>
      <c r="H17" s="297">
        <v>22</v>
      </c>
      <c r="I17" s="297">
        <v>8</v>
      </c>
      <c r="J17" s="297"/>
      <c r="K17" s="297">
        <v>7</v>
      </c>
      <c r="L17" s="297">
        <v>12</v>
      </c>
      <c r="M17" s="297">
        <v>3</v>
      </c>
      <c r="N17" s="313">
        <v>1</v>
      </c>
      <c r="O17" s="297">
        <v>1</v>
      </c>
      <c r="P17" s="297">
        <v>39</v>
      </c>
      <c r="Q17" s="297">
        <v>12</v>
      </c>
      <c r="R17" s="297">
        <v>3</v>
      </c>
      <c r="S17" s="297">
        <v>5</v>
      </c>
      <c r="T17" s="297">
        <f t="shared" si="1"/>
        <v>155</v>
      </c>
    </row>
    <row r="18" spans="2:20" x14ac:dyDescent="0.6">
      <c r="B18" s="304" t="s">
        <v>46</v>
      </c>
      <c r="C18" s="305">
        <v>6129.5714285714257</v>
      </c>
      <c r="D18" s="302">
        <v>8</v>
      </c>
      <c r="E18" s="297">
        <v>6</v>
      </c>
      <c r="F18" s="297">
        <v>4</v>
      </c>
      <c r="G18" s="297"/>
      <c r="H18" s="297">
        <v>6</v>
      </c>
      <c r="I18" s="297">
        <v>5</v>
      </c>
      <c r="J18" s="297">
        <v>8</v>
      </c>
      <c r="K18" s="297">
        <v>4</v>
      </c>
      <c r="L18" s="297">
        <v>6</v>
      </c>
      <c r="M18" s="297">
        <v>5</v>
      </c>
      <c r="N18" s="313">
        <v>6</v>
      </c>
      <c r="O18" s="297">
        <v>8</v>
      </c>
      <c r="P18" s="297">
        <v>10</v>
      </c>
      <c r="Q18" s="297">
        <v>4</v>
      </c>
      <c r="R18" s="297">
        <v>6</v>
      </c>
      <c r="S18" s="297">
        <v>4</v>
      </c>
      <c r="T18" s="297">
        <f>SUM(D18:S18)</f>
        <v>90</v>
      </c>
    </row>
    <row r="19" spans="2:20" hidden="1" x14ac:dyDescent="0.6">
      <c r="B19" s="304" t="s">
        <v>47</v>
      </c>
      <c r="C19" s="305">
        <v>6435.285714285711</v>
      </c>
      <c r="D19" s="302"/>
      <c r="E19" s="297"/>
      <c r="F19" s="297"/>
      <c r="G19" s="297">
        <v>1</v>
      </c>
      <c r="H19" s="297"/>
      <c r="I19" s="297"/>
      <c r="J19" s="297"/>
      <c r="K19" s="297"/>
      <c r="L19" s="297"/>
      <c r="M19" s="297"/>
      <c r="N19" s="313"/>
      <c r="O19" s="297"/>
      <c r="P19" s="297"/>
      <c r="Q19" s="297"/>
      <c r="R19" s="297"/>
      <c r="S19" s="297"/>
      <c r="T19" s="297">
        <f t="shared" si="1"/>
        <v>1</v>
      </c>
    </row>
    <row r="20" spans="2:20" hidden="1" x14ac:dyDescent="0.6">
      <c r="B20" s="304" t="s">
        <v>48</v>
      </c>
      <c r="C20" s="305">
        <v>6740.9999999999964</v>
      </c>
      <c r="D20" s="302"/>
      <c r="E20" s="297"/>
      <c r="F20" s="297"/>
      <c r="G20" s="297"/>
      <c r="H20" s="297"/>
      <c r="I20" s="297"/>
      <c r="J20" s="297"/>
      <c r="K20" s="297"/>
      <c r="L20" s="297"/>
      <c r="M20" s="297"/>
      <c r="N20" s="313"/>
      <c r="O20" s="297"/>
      <c r="P20" s="297"/>
      <c r="Q20" s="297"/>
      <c r="R20" s="297"/>
      <c r="S20" s="297"/>
      <c r="T20" s="297">
        <f t="shared" si="1"/>
        <v>0</v>
      </c>
    </row>
    <row r="21" spans="2:20" hidden="1" x14ac:dyDescent="0.6">
      <c r="B21" s="304" t="s">
        <v>49</v>
      </c>
      <c r="C21" s="305">
        <v>7046.7142857142817</v>
      </c>
      <c r="D21" s="302"/>
      <c r="E21" s="297"/>
      <c r="F21" s="297"/>
      <c r="G21" s="297"/>
      <c r="H21" s="297"/>
      <c r="I21" s="297"/>
      <c r="J21" s="297"/>
      <c r="K21" s="297"/>
      <c r="L21" s="297"/>
      <c r="M21" s="297"/>
      <c r="N21" s="313"/>
      <c r="O21" s="297"/>
      <c r="P21" s="297"/>
      <c r="Q21" s="297"/>
      <c r="R21" s="297"/>
      <c r="S21" s="297"/>
      <c r="T21" s="297">
        <f>SUM(D21:S21)</f>
        <v>0</v>
      </c>
    </row>
    <row r="22" spans="2:20" hidden="1" x14ac:dyDescent="0.6">
      <c r="B22" s="304" t="s">
        <v>50</v>
      </c>
      <c r="C22" s="305">
        <v>7352.4285714285661</v>
      </c>
      <c r="D22" s="302"/>
      <c r="E22" s="297"/>
      <c r="F22" s="297"/>
      <c r="G22" s="297"/>
      <c r="H22" s="297"/>
      <c r="I22" s="297"/>
      <c r="J22" s="297"/>
      <c r="K22" s="297"/>
      <c r="L22" s="297"/>
      <c r="M22" s="297"/>
      <c r="N22" s="313"/>
      <c r="O22" s="297"/>
      <c r="P22" s="297"/>
      <c r="Q22" s="297"/>
      <c r="R22" s="297"/>
      <c r="S22" s="297"/>
      <c r="T22" s="297">
        <f t="shared" si="1"/>
        <v>0</v>
      </c>
    </row>
    <row r="23" spans="2:20" hidden="1" x14ac:dyDescent="0.6">
      <c r="B23" s="304" t="s">
        <v>51</v>
      </c>
      <c r="C23" s="305">
        <v>7734.571428571423</v>
      </c>
      <c r="D23" s="302"/>
      <c r="E23" s="297"/>
      <c r="F23" s="297"/>
      <c r="G23" s="297"/>
      <c r="H23" s="297"/>
      <c r="I23" s="297"/>
      <c r="J23" s="297"/>
      <c r="K23" s="297"/>
      <c r="L23" s="297"/>
      <c r="M23" s="297"/>
      <c r="N23" s="313"/>
      <c r="O23" s="297"/>
      <c r="P23" s="297"/>
      <c r="Q23" s="297"/>
      <c r="R23" s="297"/>
      <c r="S23" s="297"/>
      <c r="T23" s="297">
        <f t="shared" si="1"/>
        <v>0</v>
      </c>
    </row>
    <row r="24" spans="2:20" x14ac:dyDescent="0.6">
      <c r="B24" s="304" t="s">
        <v>52</v>
      </c>
      <c r="C24" s="305">
        <v>8116.714285714279</v>
      </c>
      <c r="D24" s="302">
        <v>1</v>
      </c>
      <c r="E24" s="297">
        <v>1</v>
      </c>
      <c r="F24" s="297">
        <v>1</v>
      </c>
      <c r="G24" s="297"/>
      <c r="H24" s="297">
        <v>1</v>
      </c>
      <c r="I24" s="297">
        <v>1</v>
      </c>
      <c r="J24" s="297">
        <v>1</v>
      </c>
      <c r="K24" s="297">
        <v>1</v>
      </c>
      <c r="L24" s="297">
        <v>1</v>
      </c>
      <c r="M24" s="297">
        <v>1</v>
      </c>
      <c r="N24" s="313">
        <v>1</v>
      </c>
      <c r="O24" s="297">
        <v>1</v>
      </c>
      <c r="P24" s="297">
        <v>1</v>
      </c>
      <c r="Q24" s="297">
        <v>1</v>
      </c>
      <c r="R24" s="297">
        <v>1</v>
      </c>
      <c r="S24" s="297">
        <v>1</v>
      </c>
      <c r="T24" s="297">
        <f t="shared" si="1"/>
        <v>15</v>
      </c>
    </row>
    <row r="25" spans="2:20" x14ac:dyDescent="0.6">
      <c r="B25" s="304" t="s">
        <v>53</v>
      </c>
      <c r="C25" s="305">
        <v>8498.8571428571358</v>
      </c>
      <c r="D25" s="302">
        <v>1</v>
      </c>
      <c r="E25" s="297">
        <v>1</v>
      </c>
      <c r="F25" s="297">
        <v>1</v>
      </c>
      <c r="G25" s="297">
        <v>3</v>
      </c>
      <c r="H25" s="297">
        <v>1</v>
      </c>
      <c r="I25" s="297">
        <v>1</v>
      </c>
      <c r="J25" s="297">
        <v>1</v>
      </c>
      <c r="K25" s="297">
        <v>1</v>
      </c>
      <c r="L25" s="297">
        <v>1</v>
      </c>
      <c r="M25" s="297">
        <v>1</v>
      </c>
      <c r="N25" s="313">
        <v>1</v>
      </c>
      <c r="O25" s="297">
        <v>1</v>
      </c>
      <c r="P25" s="297">
        <v>1</v>
      </c>
      <c r="Q25" s="297">
        <v>1</v>
      </c>
      <c r="R25" s="297">
        <v>1</v>
      </c>
      <c r="S25" s="297">
        <v>1</v>
      </c>
      <c r="T25" s="297">
        <f t="shared" si="1"/>
        <v>18</v>
      </c>
    </row>
    <row r="26" spans="2:20" x14ac:dyDescent="0.6">
      <c r="B26" s="304" t="s">
        <v>54</v>
      </c>
      <c r="C26" s="305">
        <v>8880.9999999999927</v>
      </c>
      <c r="D26" s="302"/>
      <c r="E26" s="297"/>
      <c r="F26" s="297"/>
      <c r="G26" s="297">
        <v>10</v>
      </c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>
        <f t="shared" si="1"/>
        <v>10</v>
      </c>
    </row>
    <row r="27" spans="2:20" x14ac:dyDescent="0.6">
      <c r="B27" s="304" t="s">
        <v>55</v>
      </c>
      <c r="C27" s="305">
        <v>9263.1428571428478</v>
      </c>
      <c r="D27" s="302"/>
      <c r="E27" s="297"/>
      <c r="F27" s="297"/>
      <c r="G27" s="297">
        <v>2</v>
      </c>
      <c r="H27" s="297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>
        <f t="shared" si="1"/>
        <v>2</v>
      </c>
    </row>
    <row r="28" spans="2:20" x14ac:dyDescent="0.6">
      <c r="B28" s="304" t="s">
        <v>56</v>
      </c>
      <c r="C28" s="305">
        <v>9645.2857142857047</v>
      </c>
      <c r="D28" s="302"/>
      <c r="E28" s="297"/>
      <c r="F28" s="297"/>
      <c r="G28" s="297">
        <v>1</v>
      </c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>
        <f t="shared" si="1"/>
        <v>1</v>
      </c>
    </row>
    <row r="29" spans="2:20" ht="13.75" thickBot="1" x14ac:dyDescent="0.75">
      <c r="B29" s="316" t="s">
        <v>57</v>
      </c>
      <c r="C29" s="317">
        <v>10103.857142857132</v>
      </c>
      <c r="D29" s="416"/>
      <c r="E29" s="417"/>
      <c r="F29" s="417"/>
      <c r="G29" s="417">
        <v>1</v>
      </c>
      <c r="H29" s="417"/>
      <c r="I29" s="417"/>
      <c r="J29" s="417"/>
      <c r="K29" s="297"/>
      <c r="L29" s="297"/>
      <c r="M29" s="297"/>
      <c r="N29" s="297"/>
      <c r="O29" s="297"/>
      <c r="P29" s="297"/>
      <c r="Q29" s="297"/>
      <c r="R29" s="297"/>
      <c r="S29" s="297"/>
      <c r="T29" s="297">
        <f t="shared" si="1"/>
        <v>1</v>
      </c>
    </row>
    <row r="30" spans="2:20" hidden="1" x14ac:dyDescent="0.6">
      <c r="B30" s="22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>
        <f t="shared" si="1"/>
        <v>0</v>
      </c>
    </row>
    <row r="31" spans="2:20" hidden="1" x14ac:dyDescent="0.6">
      <c r="B31" s="22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>
        <f t="shared" si="1"/>
        <v>0</v>
      </c>
    </row>
    <row r="32" spans="2:20" hidden="1" x14ac:dyDescent="0.6">
      <c r="B32" s="22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>
        <f t="shared" si="1"/>
        <v>0</v>
      </c>
    </row>
    <row r="33" spans="2:21" hidden="1" x14ac:dyDescent="0.6">
      <c r="B33" s="22"/>
      <c r="D33" s="297"/>
      <c r="E33" s="297"/>
      <c r="F33" s="297"/>
      <c r="G33" s="297"/>
      <c r="H33" s="297"/>
      <c r="I33" s="297"/>
      <c r="J33" s="419"/>
      <c r="K33" s="297"/>
      <c r="L33" s="297"/>
      <c r="M33" s="297"/>
      <c r="N33" s="297"/>
      <c r="O33" s="297"/>
      <c r="P33" s="297"/>
      <c r="Q33" s="297"/>
      <c r="R33" s="297"/>
      <c r="S33" s="297"/>
      <c r="T33" s="297">
        <f t="shared" si="1"/>
        <v>0</v>
      </c>
    </row>
    <row r="34" spans="2:21" ht="13.75" thickBot="1" x14ac:dyDescent="0.75">
      <c r="D34" s="296">
        <f>$C$5*D5+$C$6*D6+$C$7*D7+$C$8*D8+$C$9*D9+$C$10*D10+$C$11*D11+$C$12*D12+$C$13*D13+$C$14*D14+$C$15*D15+$C$16*D16+$C$17*D17+$C$18*D18+$C$19*D19+$C$20*D20+$C$21*D21+$C$22*D22+$C$23*D23+$C$24*D24+$C$25*D25+$C$26*D26+$C$27*D27+$C$28*D28+$C$29*D29+$C$30*D30+$C$31*D31+$C$32*D32+$C$33*D33</f>
        <v>1609341.1428571425</v>
      </c>
      <c r="E34" s="296">
        <f t="shared" ref="E34:S34" si="2">$C$5*E5+$C$6*E6+$C$7*E7+$C$8*E8+$C$9*E9+$C$10*E10+$C$11*E11+$C$12*E12+$C$13*E13+$C$14*E14+$C$15*E15+$C$16*E16+$C$17*E17+$C$18*E18+$C$19*E19+$C$20*E20+$C$21*E21+$C$22*E22+$C$23*E23+$C$24*E24+$C$25*E25+$C$26*E26+$C$27*E27+$C$28*E28+$C$29*E29+$C$30*E30+$C$31*E31+$C$32*E32+$C$33*E33</f>
        <v>1341734.1428571425</v>
      </c>
      <c r="F34" s="296">
        <f t="shared" si="2"/>
        <v>1058642.7142857139</v>
      </c>
      <c r="G34" s="296">
        <f>$C$5*G5+$C$6*G6+$C$7*G7+$C$8*G8+$C$9*G9+$C$10*G10+$C$11*G11+$C$12*G12+$C$13*G13+$C$14*G14+$C$15*G15+$C$16*G16+$C$17*G17+$C$18*G18+$C$19*G19+$C$20*G20+$C$21*G21+$C$22*G22+$C$23*G23+$C$24*G24+$C$25*G25+$C$26*G26+$C$27*G27+$C$28*G28+$C$29*G29+$C$30*G30+$C$31*G31+$C$32*G32+$C$33*G33</f>
        <v>335261.57142857125</v>
      </c>
      <c r="H34" s="306">
        <f t="shared" si="2"/>
        <v>1565746.2857142852</v>
      </c>
      <c r="I34" s="418">
        <f t="shared" si="2"/>
        <v>764958.28571428568</v>
      </c>
      <c r="J34" s="420">
        <f t="shared" si="2"/>
        <v>1315274.5714285711</v>
      </c>
      <c r="K34" s="312">
        <f>$C$5*K5+$C$6*K6+$C$7*K7+$C$8*K8+$C$9*K9+$C$10*K10+$C$11*K11+$C$12*K12+$C$13*K13+$C$14*K14+$C$15*K15+$C$16*K16+$C$17*K17+$C$18*K18+$C$19*K19+$C$20*K20+$C$21*K21+$C$22*K22+$C$23*K23+$C$24*K24+$C$25*K25+$C$26*K26+$C$27*K27+$C$28*K28+$C$29*K29+$C$30*K30+$C$31*K31+$C$32*K32+$C$33*K33</f>
        <v>901780.71428571397</v>
      </c>
      <c r="L34" s="296">
        <f t="shared" si="2"/>
        <v>999777.42857142829</v>
      </c>
      <c r="M34" s="296">
        <f t="shared" si="2"/>
        <v>825428.57142857136</v>
      </c>
      <c r="N34" s="314">
        <f t="shared" si="2"/>
        <v>1531750.8571428566</v>
      </c>
      <c r="O34" s="307">
        <f t="shared" si="2"/>
        <v>983757.99999999988</v>
      </c>
      <c r="P34" s="296">
        <f t="shared" si="2"/>
        <v>2214334.4285714277</v>
      </c>
      <c r="Q34" s="296">
        <f t="shared" si="2"/>
        <v>895024.42857142829</v>
      </c>
      <c r="R34" s="298">
        <f t="shared" si="2"/>
        <v>952315.28571428545</v>
      </c>
      <c r="S34" s="296">
        <f t="shared" si="2"/>
        <v>935990.14285714261</v>
      </c>
      <c r="T34" s="296">
        <f>$C$5*T5+$C$6*T6+$C$7*T7+$C$8*T8+$C$9*T9+$C$10*T10+$C$11*T11+$C$12*T12+$C$13*T13+$C$14*T14+$C$15*T15+$C$16*T16+$C$17*T17+$C$18*T18+$C$19*T19+$C$20*T20+$C$21*T21+$C$22*T22+$C$23*T23+$C$24*T24+$C$25*T25+$C$26*T26+$C$27*T27+$C$28*T28+$C$29*T29+$C$30*T30+$C$31*T31+$C$32*T32+$C$33*T33</f>
        <v>18231118.571428575</v>
      </c>
    </row>
    <row r="35" spans="2:21" ht="13.75" thickBot="1" x14ac:dyDescent="0.75">
      <c r="B35" s="412" t="s">
        <v>125</v>
      </c>
      <c r="C35" s="412"/>
      <c r="D35" s="413">
        <f t="shared" ref="D35:N35" si="3">SUM(D5:D33)</f>
        <v>372</v>
      </c>
      <c r="E35" s="413">
        <f t="shared" si="3"/>
        <v>309</v>
      </c>
      <c r="F35" s="413">
        <f t="shared" si="3"/>
        <v>235</v>
      </c>
      <c r="G35" s="413">
        <f>SUM(G5:G33)</f>
        <v>56</v>
      </c>
      <c r="H35" s="413">
        <f t="shared" si="3"/>
        <v>364</v>
      </c>
      <c r="I35" s="421">
        <f t="shared" si="3"/>
        <v>173</v>
      </c>
      <c r="J35" s="423">
        <f t="shared" si="3"/>
        <v>321</v>
      </c>
      <c r="K35" s="302">
        <f t="shared" si="3"/>
        <v>211</v>
      </c>
      <c r="L35" s="297">
        <f t="shared" si="3"/>
        <v>226</v>
      </c>
      <c r="M35" s="297">
        <f t="shared" si="3"/>
        <v>203</v>
      </c>
      <c r="N35" s="315">
        <f t="shared" si="3"/>
        <v>368</v>
      </c>
      <c r="O35" s="308">
        <f>SUM(O5:O33)</f>
        <v>228</v>
      </c>
      <c r="P35" s="297">
        <f t="shared" ref="P35:S35" si="4">SUM(P5:P33)</f>
        <v>483</v>
      </c>
      <c r="Q35" s="309">
        <f t="shared" si="4"/>
        <v>203</v>
      </c>
      <c r="R35" s="299">
        <f t="shared" si="4"/>
        <v>230</v>
      </c>
      <c r="S35" s="302">
        <f t="shared" si="4"/>
        <v>226</v>
      </c>
      <c r="T35" s="297">
        <f>SUM(T5:T33)</f>
        <v>4208</v>
      </c>
    </row>
    <row r="36" spans="2:21" x14ac:dyDescent="0.6">
      <c r="B36" s="343" t="s">
        <v>191</v>
      </c>
      <c r="C36" s="343"/>
      <c r="D36" s="296">
        <f>D34*5/1000</f>
        <v>8046.7057142857129</v>
      </c>
      <c r="E36" s="296">
        <f t="shared" ref="E36:T36" si="5">E34*5/1000</f>
        <v>6708.6707142857131</v>
      </c>
      <c r="F36" s="296">
        <f t="shared" si="5"/>
        <v>5293.2135714285687</v>
      </c>
      <c r="G36" s="296">
        <f t="shared" si="5"/>
        <v>1676.3078571428564</v>
      </c>
      <c r="H36" s="296">
        <f t="shared" si="5"/>
        <v>7828.7314285714265</v>
      </c>
      <c r="I36" s="296">
        <f t="shared" si="5"/>
        <v>3824.7914285714282</v>
      </c>
      <c r="J36" s="422">
        <f t="shared" si="5"/>
        <v>6576.3728571428555</v>
      </c>
      <c r="K36" s="296">
        <f t="shared" si="5"/>
        <v>4508.9035714285701</v>
      </c>
      <c r="L36" s="296">
        <f t="shared" si="5"/>
        <v>4998.887142857142</v>
      </c>
      <c r="M36" s="296">
        <f t="shared" si="5"/>
        <v>4127.1428571428569</v>
      </c>
      <c r="N36" s="296">
        <f t="shared" si="5"/>
        <v>7658.7542857142826</v>
      </c>
      <c r="O36" s="296">
        <f t="shared" si="5"/>
        <v>4918.7899999999991</v>
      </c>
      <c r="P36" s="296">
        <f t="shared" si="5"/>
        <v>11071.672142857138</v>
      </c>
      <c r="Q36" s="296">
        <f t="shared" si="5"/>
        <v>4475.1221428571416</v>
      </c>
      <c r="R36" s="300">
        <f t="shared" si="5"/>
        <v>4761.5764285714276</v>
      </c>
      <c r="S36" s="296">
        <f t="shared" si="5"/>
        <v>4679.9507142857128</v>
      </c>
      <c r="T36" s="296">
        <f t="shared" si="5"/>
        <v>91155.592857142867</v>
      </c>
      <c r="U36" s="26">
        <f>SUM(T36:T36,T39)</f>
        <v>164755.74285714288</v>
      </c>
    </row>
    <row r="37" spans="2:21" x14ac:dyDescent="0.6">
      <c r="B37" s="343" t="s">
        <v>319</v>
      </c>
      <c r="C37" s="343"/>
      <c r="D37" s="296">
        <f t="shared" ref="D37:S37" si="6">D35*120/1000*5</f>
        <v>223.2</v>
      </c>
      <c r="E37" s="296">
        <f t="shared" si="6"/>
        <v>185.39999999999998</v>
      </c>
      <c r="F37" s="296">
        <f t="shared" si="6"/>
        <v>141</v>
      </c>
      <c r="G37" s="296">
        <f t="shared" si="6"/>
        <v>33.6</v>
      </c>
      <c r="H37" s="296">
        <f t="shared" si="6"/>
        <v>218.4</v>
      </c>
      <c r="I37" s="296">
        <f t="shared" si="6"/>
        <v>103.80000000000001</v>
      </c>
      <c r="J37" s="411">
        <f t="shared" si="6"/>
        <v>192.60000000000002</v>
      </c>
      <c r="K37" s="296">
        <f t="shared" si="6"/>
        <v>126.6</v>
      </c>
      <c r="L37" s="296">
        <f t="shared" si="6"/>
        <v>135.6</v>
      </c>
      <c r="M37" s="296">
        <f t="shared" si="6"/>
        <v>121.8</v>
      </c>
      <c r="N37" s="296">
        <f t="shared" si="6"/>
        <v>220.79999999999998</v>
      </c>
      <c r="O37" s="296">
        <f t="shared" si="6"/>
        <v>136.80000000000001</v>
      </c>
      <c r="P37" s="296">
        <f t="shared" si="6"/>
        <v>289.8</v>
      </c>
      <c r="Q37" s="296">
        <f t="shared" si="6"/>
        <v>121.8</v>
      </c>
      <c r="R37" s="296">
        <f t="shared" si="6"/>
        <v>138</v>
      </c>
      <c r="S37" s="296">
        <f t="shared" si="6"/>
        <v>135.6</v>
      </c>
      <c r="T37" s="296">
        <f>T35*120/1000*5</f>
        <v>2524.7999999999997</v>
      </c>
    </row>
    <row r="38" spans="2:21" x14ac:dyDescent="0.6">
      <c r="B38" s="343" t="s">
        <v>192</v>
      </c>
      <c r="C38" s="343"/>
      <c r="D38" s="296">
        <v>1341.65</v>
      </c>
      <c r="E38" s="296">
        <v>955.7</v>
      </c>
      <c r="F38" s="296">
        <v>1232.1300000000001</v>
      </c>
      <c r="G38" s="296">
        <v>163.72</v>
      </c>
      <c r="H38" s="296">
        <v>768.06999999999994</v>
      </c>
      <c r="I38" s="296">
        <v>1251</v>
      </c>
      <c r="J38" s="411">
        <v>877.95</v>
      </c>
      <c r="K38" s="296">
        <v>840.9200000000003</v>
      </c>
      <c r="L38" s="296">
        <v>535.61</v>
      </c>
      <c r="M38" s="296">
        <v>407.37</v>
      </c>
      <c r="N38" s="296">
        <v>734.39</v>
      </c>
      <c r="O38" s="296">
        <v>504.87</v>
      </c>
      <c r="P38" s="296">
        <v>1116.29</v>
      </c>
      <c r="Q38" s="296">
        <v>609.72</v>
      </c>
      <c r="R38" s="296">
        <v>582.98</v>
      </c>
      <c r="S38" s="296">
        <v>533.49</v>
      </c>
      <c r="T38" s="296">
        <f>SUM(D38:S38)</f>
        <v>12455.86</v>
      </c>
    </row>
    <row r="39" spans="2:21" ht="13.75" thickBot="1" x14ac:dyDescent="0.75">
      <c r="B39" s="343" t="s">
        <v>78</v>
      </c>
      <c r="C39" s="343"/>
      <c r="D39" s="296">
        <f>'EMPLEO Y SALARIO'!L7</f>
        <v>4957.5600000000004</v>
      </c>
      <c r="E39" s="296">
        <f>'EMPLEO Y SALARIO'!L8</f>
        <v>5962.61</v>
      </c>
      <c r="F39" s="296">
        <f>'EMPLEO Y SALARIO'!L10</f>
        <v>7884.9</v>
      </c>
      <c r="G39" s="296">
        <f>'EMPLEO Y SALARIO'!L9</f>
        <v>1082.72</v>
      </c>
      <c r="H39" s="296">
        <f>'EMPLEO Y SALARIO'!L11</f>
        <v>4030.59</v>
      </c>
      <c r="I39" s="296">
        <f>'EMPLEO Y SALARIO'!L12</f>
        <v>3687.79</v>
      </c>
      <c r="J39" s="411">
        <f>'EMPLEO Y SALARIO'!L13</f>
        <v>4853.17</v>
      </c>
      <c r="K39" s="296">
        <f>'EMPLEO Y SALARIO'!L14</f>
        <v>4825.82</v>
      </c>
      <c r="L39" s="296">
        <f>'EMPLEO Y SALARIO'!L15</f>
        <v>3304.66</v>
      </c>
      <c r="M39" s="296">
        <f>'EMPLEO Y SALARIO'!L16</f>
        <v>3178.18</v>
      </c>
      <c r="N39" s="296">
        <f>'EMPLEO Y SALARIO'!L17</f>
        <v>4258.4799999999996</v>
      </c>
      <c r="O39" s="296">
        <f>'EMPLEO Y SALARIO'!L18</f>
        <v>3081.3</v>
      </c>
      <c r="P39" s="296">
        <f>'EMPLEO Y SALARIO'!L19</f>
        <v>11651.85</v>
      </c>
      <c r="Q39" s="296">
        <f>'EMPLEO Y SALARIO'!L20</f>
        <v>3685.09</v>
      </c>
      <c r="R39" s="298">
        <f>'EMPLEO Y SALARIO'!L21</f>
        <v>3829.86</v>
      </c>
      <c r="S39" s="296">
        <f>'EMPLEO Y SALARIO'!L22</f>
        <v>3325.57</v>
      </c>
      <c r="T39" s="296">
        <f>SUM(D39:S39)</f>
        <v>73600.150000000023</v>
      </c>
    </row>
    <row r="40" spans="2:21" ht="13.75" thickBot="1" x14ac:dyDescent="0.75">
      <c r="B40" s="343" t="s">
        <v>193</v>
      </c>
      <c r="C40" s="343"/>
      <c r="D40" s="296">
        <f t="shared" ref="D40:S40" si="7">SUM(D36:D39)</f>
        <v>14569.115714285712</v>
      </c>
      <c r="E40" s="296">
        <f t="shared" si="7"/>
        <v>13812.380714285711</v>
      </c>
      <c r="F40" s="296">
        <f t="shared" si="7"/>
        <v>14551.243571428568</v>
      </c>
      <c r="G40" s="296">
        <f t="shared" si="7"/>
        <v>2956.3478571428564</v>
      </c>
      <c r="H40" s="296">
        <f t="shared" si="7"/>
        <v>12845.791428571427</v>
      </c>
      <c r="I40" s="296">
        <f t="shared" si="7"/>
        <v>8867.3814285714288</v>
      </c>
      <c r="J40" s="411">
        <f t="shared" si="7"/>
        <v>12500.092857142856</v>
      </c>
      <c r="K40" s="296">
        <f t="shared" si="7"/>
        <v>10302.243571428571</v>
      </c>
      <c r="L40" s="296">
        <f t="shared" si="7"/>
        <v>8974.7571428571428</v>
      </c>
      <c r="M40" s="296">
        <f t="shared" si="7"/>
        <v>7834.4928571428572</v>
      </c>
      <c r="N40" s="296">
        <f t="shared" si="7"/>
        <v>12872.424285714282</v>
      </c>
      <c r="O40" s="310">
        <f t="shared" si="7"/>
        <v>8641.7599999999984</v>
      </c>
      <c r="P40" s="296">
        <f t="shared" si="7"/>
        <v>24129.612142857135</v>
      </c>
      <c r="Q40" s="311">
        <f t="shared" si="7"/>
        <v>8891.7321428571413</v>
      </c>
      <c r="R40" s="301">
        <f t="shared" si="7"/>
        <v>9312.4164285714287</v>
      </c>
      <c r="S40" s="312">
        <f t="shared" si="7"/>
        <v>8674.6107142857127</v>
      </c>
      <c r="T40" s="296">
        <f>SUM(D40:S40)</f>
        <v>179736.40285714282</v>
      </c>
    </row>
    <row r="41" spans="2:21" x14ac:dyDescent="0.6">
      <c r="B41" s="343" t="s">
        <v>195</v>
      </c>
      <c r="C41" s="343"/>
      <c r="D41" s="296">
        <f>D40/'EMPLEO Y SALARIO'!D7</f>
        <v>0.10605849684430041</v>
      </c>
      <c r="E41" s="296">
        <f>E40/'EMPLEO Y SALARIO'!D8</f>
        <v>5.2123379394329261E-2</v>
      </c>
      <c r="F41" s="296">
        <f>F40/'EMPLEO Y SALARIO'!D10</f>
        <v>5.0681134800362015E-2</v>
      </c>
      <c r="G41" s="296">
        <f>G40/'EMPLEO Y SALARIO'!D9</f>
        <v>7.8741620894194383E-2</v>
      </c>
      <c r="H41" s="296">
        <f>H40/'EMPLEO Y SALARIO'!D11</f>
        <v>0.11540549508846171</v>
      </c>
      <c r="I41" s="296">
        <f>I40/'EMPLEO Y SALARIO'!D12</f>
        <v>6.4929161491886156E-2</v>
      </c>
      <c r="J41" s="411">
        <f>J40/'EMPLEO Y SALARIO'!D13</f>
        <v>0.2470731020062949</v>
      </c>
      <c r="K41" s="296">
        <f>K40/'EMPLEO Y SALARIO'!D14</f>
        <v>9.1042475068663087E-2</v>
      </c>
      <c r="L41" s="296">
        <f>L40/'EMPLEO Y SALARIO'!D15</f>
        <v>9.4320750757341421E-2</v>
      </c>
      <c r="M41" s="296">
        <f>M40/'EMPLEO Y SALARIO'!D16</f>
        <v>0.17989993511111366</v>
      </c>
      <c r="N41" s="296">
        <f>N40/'EMPLEO Y SALARIO'!D17</f>
        <v>6.1108709036638079E-2</v>
      </c>
      <c r="O41" s="296">
        <f>O40/'EMPLEO Y SALARIO'!D18</f>
        <v>0.18847697991635484</v>
      </c>
      <c r="P41" s="296">
        <f>P40/'EMPLEO Y SALARIO'!D19</f>
        <v>0.11723611462318421</v>
      </c>
      <c r="Q41" s="296">
        <f>Q40/'EMPLEO Y SALARIO'!D20</f>
        <v>0.10204810639922579</v>
      </c>
      <c r="R41" s="300">
        <f>R40/'EMPLEO Y SALARIO'!D21</f>
        <v>0.10050318881075065</v>
      </c>
      <c r="S41" s="296">
        <f>S40/'EMPLEO Y SALARIO'!D22</f>
        <v>0.18333429596335166</v>
      </c>
      <c r="T41" s="296">
        <f>T40/'EMPLEO Y SALARIO'!D23</f>
        <v>9.1386179327661854E-2</v>
      </c>
    </row>
    <row r="42" spans="2:21" x14ac:dyDescent="0.6"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4" spans="2:21" x14ac:dyDescent="0.6">
      <c r="B44" s="344" t="s">
        <v>313</v>
      </c>
      <c r="C44" s="344"/>
      <c r="D44" s="252">
        <f>D34*12/1000</f>
        <v>19312.093714285707</v>
      </c>
      <c r="E44" s="252">
        <f t="shared" ref="E44:T44" si="8">E34*12/1000</f>
        <v>16100.80971428571</v>
      </c>
      <c r="F44" s="252">
        <f t="shared" si="8"/>
        <v>12703.712571428567</v>
      </c>
      <c r="G44" s="252">
        <f t="shared" si="8"/>
        <v>4023.1388571428552</v>
      </c>
      <c r="H44" s="252">
        <f t="shared" si="8"/>
        <v>18788.955428571422</v>
      </c>
      <c r="I44" s="252">
        <f t="shared" si="8"/>
        <v>9179.4994285714292</v>
      </c>
      <c r="J44" s="252">
        <f t="shared" si="8"/>
        <v>15783.294857142855</v>
      </c>
      <c r="K44" s="252">
        <f t="shared" si="8"/>
        <v>10821.368571428568</v>
      </c>
      <c r="L44" s="252">
        <f t="shared" si="8"/>
        <v>11997.329142857139</v>
      </c>
      <c r="M44" s="252">
        <f t="shared" si="8"/>
        <v>9905.1428571428569</v>
      </c>
      <c r="N44" s="252">
        <f t="shared" si="8"/>
        <v>18381.010285714281</v>
      </c>
      <c r="O44" s="252">
        <f t="shared" si="8"/>
        <v>11805.095999999998</v>
      </c>
      <c r="P44" s="252">
        <f t="shared" si="8"/>
        <v>26572.013142857133</v>
      </c>
      <c r="Q44" s="252">
        <f t="shared" si="8"/>
        <v>10740.293142857139</v>
      </c>
      <c r="R44" s="252">
        <f t="shared" si="8"/>
        <v>11427.783428571425</v>
      </c>
      <c r="S44" s="252">
        <f t="shared" si="8"/>
        <v>11231.881714285711</v>
      </c>
      <c r="T44" s="252">
        <f t="shared" si="8"/>
        <v>218773.4228571429</v>
      </c>
    </row>
    <row r="45" spans="2:21" x14ac:dyDescent="0.6">
      <c r="B45" s="254"/>
      <c r="C45" s="254"/>
      <c r="D45" s="255">
        <f t="shared" ref="D45:T45" si="9">1200*12*D35/1000</f>
        <v>5356.8</v>
      </c>
      <c r="E45" s="255">
        <f t="shared" si="9"/>
        <v>4449.6000000000004</v>
      </c>
      <c r="F45" s="255">
        <f t="shared" si="9"/>
        <v>3384</v>
      </c>
      <c r="G45" s="255">
        <f t="shared" si="9"/>
        <v>806.4</v>
      </c>
      <c r="H45" s="255">
        <f t="shared" si="9"/>
        <v>5241.6000000000004</v>
      </c>
      <c r="I45" s="255">
        <f t="shared" si="9"/>
        <v>2491.1999999999998</v>
      </c>
      <c r="J45" s="255">
        <f t="shared" si="9"/>
        <v>4622.3999999999996</v>
      </c>
      <c r="K45" s="255">
        <f t="shared" si="9"/>
        <v>3038.4</v>
      </c>
      <c r="L45" s="255">
        <f t="shared" si="9"/>
        <v>3254.4</v>
      </c>
      <c r="M45" s="255">
        <f t="shared" si="9"/>
        <v>2923.2</v>
      </c>
      <c r="N45" s="255">
        <f t="shared" si="9"/>
        <v>5299.2</v>
      </c>
      <c r="O45" s="255">
        <f t="shared" si="9"/>
        <v>3283.2</v>
      </c>
      <c r="P45" s="255">
        <f t="shared" si="9"/>
        <v>6955.2</v>
      </c>
      <c r="Q45" s="255">
        <f t="shared" si="9"/>
        <v>2923.2</v>
      </c>
      <c r="R45" s="255">
        <f t="shared" si="9"/>
        <v>3312</v>
      </c>
      <c r="S45" s="255">
        <f t="shared" si="9"/>
        <v>3254.4</v>
      </c>
      <c r="T45" s="255">
        <f t="shared" si="9"/>
        <v>60595.199999999997</v>
      </c>
    </row>
    <row r="46" spans="2:21" x14ac:dyDescent="0.6">
      <c r="B46" s="254"/>
      <c r="C46" s="254"/>
      <c r="D46" s="252">
        <f t="shared" ref="D46:T46" si="10">SUM(D44:D44)</f>
        <v>19312.093714285707</v>
      </c>
      <c r="E46" s="252">
        <f t="shared" si="10"/>
        <v>16100.80971428571</v>
      </c>
      <c r="F46" s="252">
        <f t="shared" si="10"/>
        <v>12703.712571428567</v>
      </c>
      <c r="G46" s="252">
        <f t="shared" si="10"/>
        <v>4023.1388571428552</v>
      </c>
      <c r="H46" s="252">
        <f t="shared" si="10"/>
        <v>18788.955428571422</v>
      </c>
      <c r="I46" s="252">
        <f t="shared" si="10"/>
        <v>9179.4994285714292</v>
      </c>
      <c r="J46" s="252">
        <f t="shared" si="10"/>
        <v>15783.294857142855</v>
      </c>
      <c r="K46" s="252">
        <f t="shared" si="10"/>
        <v>10821.368571428568</v>
      </c>
      <c r="L46" s="252">
        <f t="shared" si="10"/>
        <v>11997.329142857139</v>
      </c>
      <c r="M46" s="252">
        <f t="shared" si="10"/>
        <v>9905.1428571428569</v>
      </c>
      <c r="N46" s="252">
        <f t="shared" si="10"/>
        <v>18381.010285714281</v>
      </c>
      <c r="O46" s="252">
        <f t="shared" si="10"/>
        <v>11805.095999999998</v>
      </c>
      <c r="P46" s="252">
        <f t="shared" si="10"/>
        <v>26572.013142857133</v>
      </c>
      <c r="Q46" s="252">
        <f t="shared" si="10"/>
        <v>10740.293142857139</v>
      </c>
      <c r="R46" s="252">
        <f t="shared" si="10"/>
        <v>11427.783428571425</v>
      </c>
      <c r="S46" s="252">
        <f t="shared" si="10"/>
        <v>11231.881714285711</v>
      </c>
      <c r="T46" s="252">
        <f t="shared" si="10"/>
        <v>218773.4228571429</v>
      </c>
    </row>
    <row r="48" spans="2:21" x14ac:dyDescent="0.6">
      <c r="C48" s="26">
        <f t="shared" ref="C48:T48" si="11">C39+C36+C38</f>
        <v>0</v>
      </c>
      <c r="D48" s="26">
        <f t="shared" si="11"/>
        <v>14345.915714285713</v>
      </c>
      <c r="E48" s="26">
        <f t="shared" si="11"/>
        <v>13626.980714285713</v>
      </c>
      <c r="F48" s="26">
        <f t="shared" si="11"/>
        <v>14410.243571428568</v>
      </c>
      <c r="G48" s="26">
        <f t="shared" si="11"/>
        <v>2922.747857142856</v>
      </c>
      <c r="H48" s="26">
        <f t="shared" si="11"/>
        <v>12627.391428571427</v>
      </c>
      <c r="I48" s="26">
        <f t="shared" si="11"/>
        <v>8763.5814285714278</v>
      </c>
      <c r="J48" s="26">
        <f t="shared" si="11"/>
        <v>12307.492857142857</v>
      </c>
      <c r="K48" s="26">
        <f t="shared" si="11"/>
        <v>10175.643571428571</v>
      </c>
      <c r="L48" s="26">
        <f t="shared" si="11"/>
        <v>8839.1571428571424</v>
      </c>
      <c r="M48" s="26">
        <f t="shared" si="11"/>
        <v>7712.6928571428571</v>
      </c>
      <c r="N48" s="26">
        <f t="shared" si="11"/>
        <v>12651.624285714282</v>
      </c>
      <c r="O48" s="26">
        <f t="shared" si="11"/>
        <v>8504.9599999999991</v>
      </c>
      <c r="P48" s="26">
        <f t="shared" si="11"/>
        <v>23839.812142857139</v>
      </c>
      <c r="Q48" s="26">
        <f t="shared" si="11"/>
        <v>8769.932142857142</v>
      </c>
      <c r="R48" s="26">
        <f t="shared" si="11"/>
        <v>9174.4164285714269</v>
      </c>
      <c r="S48" s="26">
        <f t="shared" si="11"/>
        <v>8539.0107142857123</v>
      </c>
      <c r="T48" s="26">
        <f t="shared" si="11"/>
        <v>177211.60285714286</v>
      </c>
      <c r="U48" s="26">
        <f>T48+T49</f>
        <v>230375.08371428572</v>
      </c>
    </row>
    <row r="49" spans="4:20" x14ac:dyDescent="0.6">
      <c r="D49" s="26">
        <f>D48*0.3</f>
        <v>4303.7747142857133</v>
      </c>
      <c r="E49" s="26">
        <f>E48*0.3</f>
        <v>4088.0942142857139</v>
      </c>
      <c r="F49" s="26">
        <f t="shared" ref="F49:T49" si="12">F48*0.3</f>
        <v>4323.0730714285701</v>
      </c>
      <c r="G49" s="26">
        <f t="shared" si="12"/>
        <v>876.8243571428568</v>
      </c>
      <c r="H49" s="26">
        <f t="shared" si="12"/>
        <v>3788.2174285714282</v>
      </c>
      <c r="I49" s="26">
        <f t="shared" si="12"/>
        <v>2629.0744285714281</v>
      </c>
      <c r="J49" s="26">
        <f t="shared" si="12"/>
        <v>3692.2478571428569</v>
      </c>
      <c r="K49" s="26">
        <f t="shared" si="12"/>
        <v>3052.6930714285713</v>
      </c>
      <c r="L49" s="26">
        <f t="shared" si="12"/>
        <v>2651.7471428571425</v>
      </c>
      <c r="M49" s="26">
        <f t="shared" si="12"/>
        <v>2313.8078571428568</v>
      </c>
      <c r="N49" s="26">
        <f t="shared" si="12"/>
        <v>3795.4872857142846</v>
      </c>
      <c r="O49" s="26">
        <f t="shared" si="12"/>
        <v>2551.4879999999998</v>
      </c>
      <c r="P49" s="26">
        <f t="shared" si="12"/>
        <v>7151.9436428571416</v>
      </c>
      <c r="Q49" s="26">
        <f t="shared" si="12"/>
        <v>2630.9796428571426</v>
      </c>
      <c r="R49" s="26">
        <f t="shared" si="12"/>
        <v>2752.3249285714278</v>
      </c>
      <c r="S49" s="26">
        <f t="shared" si="12"/>
        <v>2561.7032142857138</v>
      </c>
      <c r="T49" s="26">
        <f t="shared" si="12"/>
        <v>53163.480857142858</v>
      </c>
    </row>
    <row r="50" spans="4:20" x14ac:dyDescent="0.6">
      <c r="D50" s="26">
        <f t="shared" ref="D50:S50" si="13">D35*1200*12/1000</f>
        <v>5356.8</v>
      </c>
      <c r="E50" s="26">
        <f t="shared" si="13"/>
        <v>4449.6000000000004</v>
      </c>
      <c r="F50" s="26">
        <f t="shared" si="13"/>
        <v>3384</v>
      </c>
      <c r="G50" s="26">
        <f t="shared" si="13"/>
        <v>806.4</v>
      </c>
      <c r="H50" s="26">
        <f t="shared" si="13"/>
        <v>5241.6000000000004</v>
      </c>
      <c r="I50" s="26">
        <f t="shared" si="13"/>
        <v>2491.1999999999998</v>
      </c>
      <c r="J50" s="26">
        <f t="shared" si="13"/>
        <v>4622.3999999999996</v>
      </c>
      <c r="K50" s="26">
        <f t="shared" si="13"/>
        <v>3038.4</v>
      </c>
      <c r="L50" s="26">
        <f t="shared" si="13"/>
        <v>3254.4</v>
      </c>
      <c r="M50" s="26">
        <f t="shared" si="13"/>
        <v>2923.2</v>
      </c>
      <c r="N50" s="26">
        <f t="shared" si="13"/>
        <v>5299.2</v>
      </c>
      <c r="O50" s="26">
        <f t="shared" si="13"/>
        <v>3283.2</v>
      </c>
      <c r="P50" s="26">
        <f t="shared" si="13"/>
        <v>6955.2</v>
      </c>
      <c r="Q50" s="26">
        <f t="shared" si="13"/>
        <v>2923.2</v>
      </c>
      <c r="R50" s="26">
        <f t="shared" si="13"/>
        <v>3312</v>
      </c>
      <c r="S50" s="26">
        <f t="shared" si="13"/>
        <v>3254.4</v>
      </c>
      <c r="T50" s="26">
        <f>T35*1200*12/1000</f>
        <v>60595.199999999997</v>
      </c>
    </row>
    <row r="52" spans="4:20" x14ac:dyDescent="0.6">
      <c r="G52" s="26"/>
    </row>
    <row r="53" spans="4:20" x14ac:dyDescent="0.6">
      <c r="D53" s="26">
        <f>SUM(D48:D49)</f>
        <v>18649.690428571426</v>
      </c>
      <c r="E53" s="26">
        <f t="shared" ref="E53:S53" si="14">SUM(E48:E49)</f>
        <v>17715.074928571426</v>
      </c>
      <c r="F53" s="26">
        <f t="shared" si="14"/>
        <v>18733.316642857139</v>
      </c>
      <c r="G53" s="26">
        <f t="shared" si="14"/>
        <v>3799.572214285713</v>
      </c>
      <c r="H53" s="26">
        <f t="shared" si="14"/>
        <v>16415.608857142855</v>
      </c>
      <c r="I53" s="26">
        <f t="shared" si="14"/>
        <v>11392.655857142856</v>
      </c>
      <c r="J53" s="26">
        <f t="shared" si="14"/>
        <v>15999.740714285714</v>
      </c>
      <c r="K53" s="26">
        <f t="shared" si="14"/>
        <v>13228.336642857143</v>
      </c>
      <c r="L53" s="26">
        <f t="shared" si="14"/>
        <v>11490.904285714285</v>
      </c>
      <c r="M53" s="26">
        <f t="shared" si="14"/>
        <v>10026.500714285714</v>
      </c>
      <c r="N53" s="26">
        <f t="shared" si="14"/>
        <v>16447.111571428566</v>
      </c>
      <c r="O53" s="26">
        <f t="shared" si="14"/>
        <v>11056.447999999999</v>
      </c>
      <c r="P53" s="26">
        <f t="shared" si="14"/>
        <v>30991.755785714282</v>
      </c>
      <c r="Q53" s="26">
        <f t="shared" si="14"/>
        <v>11400.911785714285</v>
      </c>
      <c r="R53" s="26">
        <f t="shared" si="14"/>
        <v>11926.741357142855</v>
      </c>
      <c r="S53" s="26">
        <f t="shared" si="14"/>
        <v>11100.713928571426</v>
      </c>
      <c r="T53" s="26">
        <f>SUM(T48:T49)</f>
        <v>230375.08371428572</v>
      </c>
    </row>
    <row r="54" spans="4:20" x14ac:dyDescent="0.6">
      <c r="G54" s="26"/>
    </row>
    <row r="61" spans="4:20" ht="12" customHeight="1" x14ac:dyDescent="0.6"/>
  </sheetData>
  <mergeCells count="28">
    <mergeCell ref="B44:C44"/>
    <mergeCell ref="T3:T4"/>
    <mergeCell ref="B2:C2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D3:D4"/>
    <mergeCell ref="E3:E4"/>
    <mergeCell ref="M3:M4"/>
    <mergeCell ref="B41:C41"/>
    <mergeCell ref="F3:F4"/>
    <mergeCell ref="G3:G4"/>
    <mergeCell ref="B36:C36"/>
    <mergeCell ref="B37:C37"/>
    <mergeCell ref="B3:B4"/>
    <mergeCell ref="C3:C4"/>
    <mergeCell ref="B38:C38"/>
    <mergeCell ref="B40:C40"/>
    <mergeCell ref="B35:C35"/>
    <mergeCell ref="B39:C39"/>
  </mergeCells>
  <pageMargins left="0.70866141732283472" right="0.70866141732283472" top="0.74803149606299213" bottom="0.74803149606299213" header="0.31496062992125984" footer="0.31496062992125984"/>
  <pageSetup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B00D-510F-4071-893D-92558C1D68E9}">
  <sheetPr>
    <pageSetUpPr fitToPage="1"/>
  </sheetPr>
  <dimension ref="A1:W54"/>
  <sheetViews>
    <sheetView zoomScale="98" zoomScaleNormal="98" workbookViewId="0">
      <selection activeCell="C26" sqref="C26"/>
    </sheetView>
  </sheetViews>
  <sheetFormatPr baseColWidth="10" defaultRowHeight="13" x14ac:dyDescent="0.6"/>
  <cols>
    <col min="1" max="1" width="4" customWidth="1"/>
    <col min="2" max="2" width="14.26953125" customWidth="1"/>
    <col min="3" max="3" width="14.86328125" style="23" customWidth="1"/>
    <col min="4" max="4" width="13" style="258" customWidth="1"/>
    <col min="5" max="6" width="13" customWidth="1"/>
    <col min="7" max="7" width="14.54296875" customWidth="1"/>
    <col min="8" max="9" width="13" customWidth="1"/>
    <col min="10" max="15" width="13" style="258" customWidth="1"/>
    <col min="16" max="16" width="13" customWidth="1"/>
    <col min="17" max="17" width="13" style="258" customWidth="1"/>
    <col min="18" max="19" width="13" customWidth="1"/>
    <col min="20" max="20" width="14" bestFit="1" customWidth="1"/>
  </cols>
  <sheetData>
    <row r="1" spans="2:23" x14ac:dyDescent="0.6">
      <c r="D1" s="258">
        <v>366</v>
      </c>
      <c r="E1">
        <v>375</v>
      </c>
      <c r="F1">
        <v>226</v>
      </c>
      <c r="G1">
        <v>35</v>
      </c>
      <c r="H1">
        <f>520-71</f>
        <v>449</v>
      </c>
      <c r="I1">
        <v>152</v>
      </c>
      <c r="J1" s="258">
        <v>312</v>
      </c>
      <c r="K1" s="258">
        <v>209</v>
      </c>
      <c r="L1" s="258">
        <v>224</v>
      </c>
      <c r="M1" s="258">
        <v>201</v>
      </c>
      <c r="N1" s="258">
        <v>358</v>
      </c>
      <c r="O1" s="258">
        <v>227</v>
      </c>
      <c r="P1">
        <v>471</v>
      </c>
      <c r="Q1" s="258">
        <v>193</v>
      </c>
      <c r="R1" s="258">
        <v>220</v>
      </c>
      <c r="S1">
        <v>187</v>
      </c>
      <c r="T1">
        <f>SUM(D1:S1)</f>
        <v>4205</v>
      </c>
    </row>
    <row r="2" spans="2:23" x14ac:dyDescent="0.6">
      <c r="B2" s="347" t="s">
        <v>75</v>
      </c>
      <c r="C2" s="344"/>
      <c r="D2" s="258">
        <f>D35-D1</f>
        <v>6</v>
      </c>
      <c r="E2">
        <f t="shared" ref="E2:T2" si="0">E35-E1</f>
        <v>-66</v>
      </c>
      <c r="F2">
        <f t="shared" si="0"/>
        <v>9</v>
      </c>
      <c r="G2">
        <f t="shared" si="0"/>
        <v>21</v>
      </c>
      <c r="H2">
        <f t="shared" si="0"/>
        <v>-85</v>
      </c>
      <c r="I2">
        <f t="shared" si="0"/>
        <v>21</v>
      </c>
      <c r="J2" s="258">
        <f t="shared" si="0"/>
        <v>9</v>
      </c>
      <c r="K2" s="258">
        <f t="shared" si="0"/>
        <v>2</v>
      </c>
      <c r="L2" s="258">
        <f t="shared" si="0"/>
        <v>2</v>
      </c>
      <c r="M2" s="258">
        <f t="shared" si="0"/>
        <v>2</v>
      </c>
      <c r="N2" s="258">
        <f>N35-N1</f>
        <v>10</v>
      </c>
      <c r="O2" s="258">
        <f t="shared" si="0"/>
        <v>1</v>
      </c>
      <c r="P2">
        <f t="shared" si="0"/>
        <v>12</v>
      </c>
      <c r="Q2" s="258">
        <f t="shared" si="0"/>
        <v>10</v>
      </c>
      <c r="R2" s="258">
        <f t="shared" si="0"/>
        <v>10</v>
      </c>
      <c r="S2">
        <f t="shared" si="0"/>
        <v>39</v>
      </c>
      <c r="T2">
        <f t="shared" si="0"/>
        <v>3</v>
      </c>
    </row>
    <row r="3" spans="2:23" x14ac:dyDescent="0.6">
      <c r="B3" s="348" t="s">
        <v>31</v>
      </c>
      <c r="C3" s="348" t="s">
        <v>32</v>
      </c>
      <c r="D3" s="350" t="s">
        <v>58</v>
      </c>
      <c r="E3" s="350" t="s">
        <v>59</v>
      </c>
      <c r="F3" s="350" t="s">
        <v>60</v>
      </c>
      <c r="G3" s="350" t="s">
        <v>61</v>
      </c>
      <c r="H3" s="350" t="s">
        <v>62</v>
      </c>
      <c r="I3" s="350" t="s">
        <v>63</v>
      </c>
      <c r="J3" s="350" t="s">
        <v>64</v>
      </c>
      <c r="K3" s="350" t="s">
        <v>65</v>
      </c>
      <c r="L3" s="350" t="s">
        <v>66</v>
      </c>
      <c r="M3" s="350" t="s">
        <v>67</v>
      </c>
      <c r="N3" s="350" t="s">
        <v>68</v>
      </c>
      <c r="O3" s="350" t="s">
        <v>69</v>
      </c>
      <c r="P3" s="350" t="s">
        <v>70</v>
      </c>
      <c r="Q3" s="350" t="s">
        <v>71</v>
      </c>
      <c r="R3" s="350" t="s">
        <v>72</v>
      </c>
      <c r="S3" s="350" t="s">
        <v>73</v>
      </c>
      <c r="T3" s="352" t="s">
        <v>74</v>
      </c>
    </row>
    <row r="4" spans="2:23" x14ac:dyDescent="0.6">
      <c r="B4" s="349"/>
      <c r="C4" s="349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3"/>
    </row>
    <row r="5" spans="2:23" s="258" customFormat="1" x14ac:dyDescent="0.6">
      <c r="B5" s="256" t="s">
        <v>33</v>
      </c>
      <c r="C5" s="257">
        <v>6300</v>
      </c>
      <c r="D5" s="258">
        <v>3</v>
      </c>
      <c r="E5" s="258">
        <v>4</v>
      </c>
      <c r="F5" s="258">
        <v>3</v>
      </c>
      <c r="G5" s="258">
        <v>3</v>
      </c>
      <c r="H5" s="258">
        <v>2</v>
      </c>
      <c r="I5" s="258">
        <v>2</v>
      </c>
      <c r="J5" s="258">
        <v>4</v>
      </c>
      <c r="K5" s="258">
        <v>4</v>
      </c>
      <c r="L5" s="258">
        <v>4</v>
      </c>
      <c r="M5" s="258">
        <v>4</v>
      </c>
      <c r="N5" s="258">
        <v>4</v>
      </c>
      <c r="O5" s="258">
        <v>3</v>
      </c>
      <c r="P5" s="258">
        <v>4</v>
      </c>
      <c r="Q5" s="258">
        <v>4</v>
      </c>
      <c r="R5" s="258">
        <v>4</v>
      </c>
      <c r="S5" s="258">
        <v>4</v>
      </c>
      <c r="T5" s="258">
        <f>SUM(D5:S5)</f>
        <v>56</v>
      </c>
      <c r="W5" s="259" t="s">
        <v>318</v>
      </c>
    </row>
    <row r="6" spans="2:23" x14ac:dyDescent="0.6">
      <c r="B6" s="22" t="s">
        <v>34</v>
      </c>
      <c r="C6" s="23">
        <v>6600</v>
      </c>
      <c r="D6" s="258">
        <v>12</v>
      </c>
      <c r="E6" s="258">
        <v>14</v>
      </c>
      <c r="F6" s="258">
        <v>19</v>
      </c>
      <c r="G6" s="258">
        <v>4</v>
      </c>
      <c r="H6" s="258">
        <v>38</v>
      </c>
      <c r="I6" s="258">
        <v>7</v>
      </c>
      <c r="J6" s="258">
        <v>39</v>
      </c>
      <c r="K6" s="258">
        <v>18</v>
      </c>
      <c r="L6" s="258">
        <v>3</v>
      </c>
      <c r="M6" s="258">
        <v>28</v>
      </c>
      <c r="N6" s="258">
        <v>12</v>
      </c>
      <c r="O6" s="258">
        <v>23</v>
      </c>
      <c r="P6" s="258">
        <v>28</v>
      </c>
      <c r="Q6" s="258">
        <v>12</v>
      </c>
      <c r="R6" s="258">
        <v>28</v>
      </c>
      <c r="S6" s="258">
        <v>25</v>
      </c>
      <c r="T6">
        <f t="shared" ref="T6:T33" si="1">SUM(D6:S6)</f>
        <v>310</v>
      </c>
      <c r="W6">
        <v>2</v>
      </c>
    </row>
    <row r="7" spans="2:23" x14ac:dyDescent="0.6">
      <c r="B7" s="22" t="s">
        <v>35</v>
      </c>
      <c r="C7" s="23">
        <v>6900</v>
      </c>
      <c r="D7" s="258">
        <v>15</v>
      </c>
      <c r="E7" s="258">
        <v>23</v>
      </c>
      <c r="F7" s="258">
        <v>18</v>
      </c>
      <c r="G7" s="258">
        <v>3</v>
      </c>
      <c r="H7" s="258">
        <v>37</v>
      </c>
      <c r="I7" s="258">
        <v>12</v>
      </c>
      <c r="J7" s="258">
        <v>40</v>
      </c>
      <c r="K7" s="258">
        <v>22</v>
      </c>
      <c r="L7" s="258">
        <v>15</v>
      </c>
      <c r="M7" s="258">
        <v>17</v>
      </c>
      <c r="N7" s="258">
        <v>44</v>
      </c>
      <c r="O7" s="258">
        <v>13</v>
      </c>
      <c r="P7" s="258">
        <v>32</v>
      </c>
      <c r="Q7" s="258">
        <v>15</v>
      </c>
      <c r="R7" s="258">
        <v>19</v>
      </c>
      <c r="S7" s="258">
        <v>21</v>
      </c>
      <c r="T7">
        <f t="shared" si="1"/>
        <v>346</v>
      </c>
      <c r="W7">
        <v>1</v>
      </c>
    </row>
    <row r="8" spans="2:23" x14ac:dyDescent="0.6">
      <c r="B8" s="22" t="s">
        <v>36</v>
      </c>
      <c r="C8" s="23">
        <v>7260</v>
      </c>
      <c r="D8" s="258">
        <v>24</v>
      </c>
      <c r="E8" s="258">
        <v>30</v>
      </c>
      <c r="F8" s="258">
        <v>19</v>
      </c>
      <c r="G8" s="258">
        <v>4</v>
      </c>
      <c r="H8" s="258">
        <v>44</v>
      </c>
      <c r="I8" s="258">
        <v>18</v>
      </c>
      <c r="J8" s="258">
        <v>28</v>
      </c>
      <c r="K8" s="258">
        <v>18</v>
      </c>
      <c r="L8" s="258">
        <v>1</v>
      </c>
      <c r="M8" s="258">
        <v>31</v>
      </c>
      <c r="N8" s="258">
        <v>47</v>
      </c>
      <c r="O8" s="258">
        <v>5</v>
      </c>
      <c r="P8" s="258">
        <v>45</v>
      </c>
      <c r="Q8" s="258">
        <v>1</v>
      </c>
      <c r="R8" s="258">
        <v>18</v>
      </c>
      <c r="S8" s="258">
        <v>22</v>
      </c>
      <c r="T8">
        <f t="shared" si="1"/>
        <v>355</v>
      </c>
      <c r="W8">
        <v>4</v>
      </c>
    </row>
    <row r="9" spans="2:23" x14ac:dyDescent="0.6">
      <c r="B9" s="22" t="s">
        <v>37</v>
      </c>
      <c r="C9" s="23">
        <v>7620</v>
      </c>
      <c r="D9" s="258">
        <v>81</v>
      </c>
      <c r="E9" s="258">
        <v>38</v>
      </c>
      <c r="F9" s="258">
        <v>16</v>
      </c>
      <c r="G9" s="258">
        <v>1</v>
      </c>
      <c r="H9" s="258">
        <v>37</v>
      </c>
      <c r="I9" s="258">
        <v>18</v>
      </c>
      <c r="J9" s="258">
        <v>80</v>
      </c>
      <c r="K9" s="258">
        <v>40</v>
      </c>
      <c r="L9" s="258">
        <v>52</v>
      </c>
      <c r="M9" s="258">
        <v>35</v>
      </c>
      <c r="N9" s="258">
        <v>81</v>
      </c>
      <c r="O9" s="258">
        <v>43</v>
      </c>
      <c r="P9" s="258">
        <v>63</v>
      </c>
      <c r="Q9" s="258">
        <v>40</v>
      </c>
      <c r="R9" s="258">
        <v>48</v>
      </c>
      <c r="S9" s="258">
        <v>40</v>
      </c>
      <c r="T9">
        <f t="shared" si="1"/>
        <v>713</v>
      </c>
      <c r="W9">
        <v>3</v>
      </c>
    </row>
    <row r="10" spans="2:23" x14ac:dyDescent="0.6">
      <c r="B10" s="22" t="s">
        <v>38</v>
      </c>
      <c r="C10" s="23">
        <v>7980</v>
      </c>
      <c r="D10" s="258">
        <v>90</v>
      </c>
      <c r="E10" s="258">
        <v>74</v>
      </c>
      <c r="F10" s="258">
        <v>35</v>
      </c>
      <c r="G10" s="258"/>
      <c r="H10" s="258">
        <v>37</v>
      </c>
      <c r="I10" s="258">
        <v>25</v>
      </c>
      <c r="J10" s="258">
        <v>41</v>
      </c>
      <c r="K10" s="258">
        <v>23</v>
      </c>
      <c r="L10" s="258">
        <v>58</v>
      </c>
      <c r="M10" s="258">
        <v>37</v>
      </c>
      <c r="N10" s="258">
        <v>75</v>
      </c>
      <c r="O10" s="258">
        <v>45</v>
      </c>
      <c r="P10" s="258">
        <v>17</v>
      </c>
      <c r="Q10" s="258">
        <v>46</v>
      </c>
      <c r="R10" s="258">
        <v>57</v>
      </c>
      <c r="S10" s="258">
        <v>45</v>
      </c>
      <c r="T10">
        <f t="shared" si="1"/>
        <v>705</v>
      </c>
      <c r="W10">
        <v>3</v>
      </c>
    </row>
    <row r="11" spans="2:23" x14ac:dyDescent="0.6">
      <c r="B11" s="22" t="s">
        <v>39</v>
      </c>
      <c r="C11" s="23">
        <v>8430</v>
      </c>
      <c r="D11" s="258">
        <v>20</v>
      </c>
      <c r="E11" s="258">
        <v>15</v>
      </c>
      <c r="F11" s="258">
        <v>4</v>
      </c>
      <c r="G11" s="258">
        <v>4</v>
      </c>
      <c r="H11" s="258">
        <v>27</v>
      </c>
      <c r="I11" s="258">
        <v>17</v>
      </c>
      <c r="K11" s="258">
        <v>14</v>
      </c>
      <c r="L11" s="258">
        <v>25</v>
      </c>
      <c r="M11" s="258">
        <v>11</v>
      </c>
      <c r="N11" s="258">
        <v>6</v>
      </c>
      <c r="O11" s="258">
        <v>17</v>
      </c>
      <c r="P11" s="258"/>
      <c r="Q11" s="258">
        <v>17</v>
      </c>
      <c r="R11" s="258">
        <v>1</v>
      </c>
      <c r="S11" s="258">
        <v>15</v>
      </c>
      <c r="T11">
        <f t="shared" si="1"/>
        <v>193</v>
      </c>
    </row>
    <row r="12" spans="2:23" x14ac:dyDescent="0.6">
      <c r="B12" s="22" t="s">
        <v>40</v>
      </c>
      <c r="C12" s="23">
        <v>8880</v>
      </c>
      <c r="D12" s="258">
        <v>22</v>
      </c>
      <c r="E12" s="258">
        <v>15</v>
      </c>
      <c r="F12" s="258">
        <v>22</v>
      </c>
      <c r="G12" s="258">
        <v>3</v>
      </c>
      <c r="H12" s="258">
        <v>24</v>
      </c>
      <c r="I12" s="258">
        <v>15</v>
      </c>
      <c r="J12" s="258">
        <v>28</v>
      </c>
      <c r="K12" s="258">
        <v>18</v>
      </c>
      <c r="L12" s="258">
        <v>1</v>
      </c>
      <c r="M12" s="258">
        <v>10</v>
      </c>
      <c r="N12" s="258">
        <v>26</v>
      </c>
      <c r="O12" s="258">
        <v>15</v>
      </c>
      <c r="P12" s="258">
        <v>50</v>
      </c>
      <c r="Q12" s="258">
        <v>4</v>
      </c>
      <c r="R12" s="258">
        <v>10</v>
      </c>
      <c r="S12" s="258">
        <v>17</v>
      </c>
      <c r="T12">
        <f t="shared" si="1"/>
        <v>280</v>
      </c>
    </row>
    <row r="13" spans="2:23" x14ac:dyDescent="0.6">
      <c r="B13" s="22" t="s">
        <v>41</v>
      </c>
      <c r="C13" s="23">
        <v>9330</v>
      </c>
      <c r="D13" s="258">
        <v>30</v>
      </c>
      <c r="E13" s="258">
        <v>17</v>
      </c>
      <c r="F13" s="258">
        <v>15</v>
      </c>
      <c r="G13" s="258"/>
      <c r="H13" s="258">
        <v>36</v>
      </c>
      <c r="I13" s="258">
        <v>10</v>
      </c>
      <c r="J13" s="258">
        <v>11</v>
      </c>
      <c r="K13" s="258">
        <v>4</v>
      </c>
      <c r="L13" s="258">
        <v>1</v>
      </c>
      <c r="M13" s="258">
        <v>7</v>
      </c>
      <c r="N13" s="258">
        <v>10</v>
      </c>
      <c r="O13" s="258">
        <v>11</v>
      </c>
      <c r="P13" s="258">
        <v>51</v>
      </c>
      <c r="Q13" s="258">
        <v>4</v>
      </c>
      <c r="R13" s="258">
        <v>7</v>
      </c>
      <c r="S13" s="258">
        <v>1</v>
      </c>
      <c r="T13">
        <f t="shared" si="1"/>
        <v>215</v>
      </c>
    </row>
    <row r="14" spans="2:23" x14ac:dyDescent="0.6">
      <c r="B14" s="22" t="s">
        <v>42</v>
      </c>
      <c r="C14" s="23">
        <v>9780</v>
      </c>
      <c r="D14" s="258">
        <v>24</v>
      </c>
      <c r="E14" s="258">
        <v>25</v>
      </c>
      <c r="F14" s="258">
        <v>13</v>
      </c>
      <c r="G14" s="258"/>
      <c r="H14" s="258">
        <v>16</v>
      </c>
      <c r="I14" s="258">
        <v>21</v>
      </c>
      <c r="J14" s="258">
        <v>20</v>
      </c>
      <c r="K14" s="258">
        <v>12</v>
      </c>
      <c r="L14" s="258">
        <v>3</v>
      </c>
      <c r="M14" s="258">
        <v>4</v>
      </c>
      <c r="N14" s="258">
        <v>10</v>
      </c>
      <c r="O14" s="258">
        <v>12</v>
      </c>
      <c r="P14" s="258">
        <v>50</v>
      </c>
      <c r="Q14" s="258">
        <v>3</v>
      </c>
      <c r="R14" s="258">
        <v>4</v>
      </c>
      <c r="S14" s="258">
        <v>6</v>
      </c>
      <c r="T14">
        <f t="shared" si="1"/>
        <v>223</v>
      </c>
      <c r="W14">
        <v>2</v>
      </c>
    </row>
    <row r="15" spans="2:23" x14ac:dyDescent="0.6">
      <c r="B15" s="22" t="s">
        <v>43</v>
      </c>
      <c r="C15" s="23">
        <v>10230</v>
      </c>
      <c r="D15" s="258">
        <v>17</v>
      </c>
      <c r="E15" s="258">
        <v>21</v>
      </c>
      <c r="F15" s="258">
        <v>24</v>
      </c>
      <c r="G15" s="258"/>
      <c r="H15" s="258">
        <v>36</v>
      </c>
      <c r="I15" s="258">
        <v>13</v>
      </c>
      <c r="J15" s="258">
        <v>16</v>
      </c>
      <c r="K15" s="258">
        <v>15</v>
      </c>
      <c r="L15" s="258">
        <v>31</v>
      </c>
      <c r="M15" s="258">
        <v>8</v>
      </c>
      <c r="N15" s="258">
        <v>40</v>
      </c>
      <c r="O15" s="258">
        <v>24</v>
      </c>
      <c r="P15" s="258">
        <v>52</v>
      </c>
      <c r="Q15" s="258">
        <v>27</v>
      </c>
      <c r="R15" s="258">
        <v>22</v>
      </c>
      <c r="S15" s="258">
        <v>18</v>
      </c>
      <c r="T15">
        <f t="shared" si="1"/>
        <v>364</v>
      </c>
      <c r="W15">
        <v>2</v>
      </c>
    </row>
    <row r="16" spans="2:23" x14ac:dyDescent="0.6">
      <c r="B16" s="22" t="s">
        <v>44</v>
      </c>
      <c r="C16" s="23">
        <v>10830</v>
      </c>
      <c r="D16" s="258">
        <v>14</v>
      </c>
      <c r="E16" s="258">
        <v>15</v>
      </c>
      <c r="F16" s="258">
        <v>35</v>
      </c>
      <c r="G16" s="258"/>
      <c r="H16" s="258"/>
      <c r="I16" s="258"/>
      <c r="J16" s="258">
        <v>4</v>
      </c>
      <c r="K16" s="258">
        <v>10</v>
      </c>
      <c r="L16" s="258">
        <v>12</v>
      </c>
      <c r="M16" s="258">
        <v>1</v>
      </c>
      <c r="N16" s="258">
        <v>4</v>
      </c>
      <c r="O16" s="258">
        <v>6</v>
      </c>
      <c r="P16" s="258">
        <v>40</v>
      </c>
      <c r="Q16" s="258">
        <v>12</v>
      </c>
      <c r="R16" s="258">
        <v>1</v>
      </c>
      <c r="S16" s="258">
        <v>1</v>
      </c>
      <c r="T16">
        <f t="shared" si="1"/>
        <v>155</v>
      </c>
      <c r="W16">
        <v>3</v>
      </c>
    </row>
    <row r="17" spans="2:23" s="258" customFormat="1" x14ac:dyDescent="0.6">
      <c r="B17" s="256" t="s">
        <v>45</v>
      </c>
      <c r="C17" s="257">
        <v>11430</v>
      </c>
      <c r="D17" s="258">
        <v>10</v>
      </c>
      <c r="E17" s="258">
        <v>10</v>
      </c>
      <c r="F17" s="258">
        <v>6</v>
      </c>
      <c r="G17" s="258">
        <v>16</v>
      </c>
      <c r="H17" s="258">
        <v>22</v>
      </c>
      <c r="I17" s="258">
        <v>8</v>
      </c>
      <c r="K17" s="258">
        <v>7</v>
      </c>
      <c r="L17" s="258">
        <v>12</v>
      </c>
      <c r="M17" s="258">
        <v>3</v>
      </c>
      <c r="N17" s="258">
        <v>1</v>
      </c>
      <c r="O17" s="258">
        <v>1</v>
      </c>
      <c r="P17" s="258">
        <v>39</v>
      </c>
      <c r="Q17" s="258">
        <v>12</v>
      </c>
      <c r="R17" s="258">
        <v>3</v>
      </c>
      <c r="S17" s="258">
        <v>5</v>
      </c>
      <c r="T17" s="258">
        <f t="shared" si="1"/>
        <v>155</v>
      </c>
    </row>
    <row r="18" spans="2:23" s="258" customFormat="1" x14ac:dyDescent="0.6">
      <c r="B18" s="256" t="s">
        <v>46</v>
      </c>
      <c r="C18" s="257">
        <v>12030</v>
      </c>
      <c r="D18" s="258">
        <v>8</v>
      </c>
      <c r="E18" s="258">
        <v>6</v>
      </c>
      <c r="F18" s="258">
        <v>4</v>
      </c>
      <c r="H18" s="258">
        <v>6</v>
      </c>
      <c r="I18" s="258">
        <v>5</v>
      </c>
      <c r="J18" s="258">
        <v>8</v>
      </c>
      <c r="K18" s="258">
        <v>4</v>
      </c>
      <c r="L18" s="258">
        <v>6</v>
      </c>
      <c r="M18" s="258">
        <v>5</v>
      </c>
      <c r="N18" s="258">
        <v>6</v>
      </c>
      <c r="O18" s="258">
        <v>8</v>
      </c>
      <c r="P18" s="258">
        <v>10</v>
      </c>
      <c r="Q18" s="258">
        <v>4</v>
      </c>
      <c r="R18" s="258">
        <v>6</v>
      </c>
      <c r="S18" s="258">
        <v>4</v>
      </c>
      <c r="T18" s="258">
        <f>SUM(D18:S18)</f>
        <v>90</v>
      </c>
    </row>
    <row r="19" spans="2:23" s="258" customFormat="1" x14ac:dyDescent="0.6">
      <c r="B19" s="256" t="s">
        <v>47</v>
      </c>
      <c r="C19" s="257">
        <v>12630</v>
      </c>
      <c r="G19" s="258">
        <v>1</v>
      </c>
      <c r="T19" s="258">
        <f t="shared" si="1"/>
        <v>1</v>
      </c>
    </row>
    <row r="20" spans="2:23" s="258" customFormat="1" x14ac:dyDescent="0.6">
      <c r="B20" s="256" t="s">
        <v>48</v>
      </c>
      <c r="C20" s="257">
        <v>13230</v>
      </c>
      <c r="T20" s="258">
        <f t="shared" si="1"/>
        <v>0</v>
      </c>
    </row>
    <row r="21" spans="2:23" s="258" customFormat="1" x14ac:dyDescent="0.6">
      <c r="B21" s="256" t="s">
        <v>49</v>
      </c>
      <c r="C21" s="257">
        <v>13830</v>
      </c>
      <c r="T21" s="258">
        <f>SUM(D21:S21)</f>
        <v>0</v>
      </c>
      <c r="W21" s="258">
        <v>6</v>
      </c>
    </row>
    <row r="22" spans="2:23" s="258" customFormat="1" x14ac:dyDescent="0.6">
      <c r="B22" s="256" t="s">
        <v>50</v>
      </c>
      <c r="C22" s="257">
        <v>14430</v>
      </c>
      <c r="T22" s="258">
        <f t="shared" si="1"/>
        <v>0</v>
      </c>
      <c r="W22" s="258">
        <v>2</v>
      </c>
    </row>
    <row r="23" spans="2:23" s="258" customFormat="1" x14ac:dyDescent="0.6">
      <c r="B23" s="256" t="s">
        <v>51</v>
      </c>
      <c r="C23" s="257">
        <v>15180</v>
      </c>
      <c r="T23" s="258">
        <f t="shared" si="1"/>
        <v>0</v>
      </c>
    </row>
    <row r="24" spans="2:23" s="258" customFormat="1" x14ac:dyDescent="0.6">
      <c r="B24" s="256" t="s">
        <v>52</v>
      </c>
      <c r="C24" s="257">
        <v>15930</v>
      </c>
      <c r="D24" s="258">
        <v>1</v>
      </c>
      <c r="E24" s="258">
        <v>1</v>
      </c>
      <c r="F24" s="258">
        <v>1</v>
      </c>
      <c r="H24" s="258">
        <v>1</v>
      </c>
      <c r="I24" s="258">
        <v>1</v>
      </c>
      <c r="J24" s="258">
        <v>1</v>
      </c>
      <c r="K24" s="258">
        <v>1</v>
      </c>
      <c r="L24" s="258">
        <v>1</v>
      </c>
      <c r="M24" s="258">
        <v>1</v>
      </c>
      <c r="N24" s="258">
        <v>1</v>
      </c>
      <c r="O24" s="258">
        <v>1</v>
      </c>
      <c r="P24" s="258">
        <v>1</v>
      </c>
      <c r="Q24" s="258">
        <v>1</v>
      </c>
      <c r="R24" s="258">
        <v>1</v>
      </c>
      <c r="S24" s="258">
        <v>1</v>
      </c>
      <c r="T24" s="258">
        <f t="shared" si="1"/>
        <v>15</v>
      </c>
      <c r="W24" s="258">
        <v>3</v>
      </c>
    </row>
    <row r="25" spans="2:23" s="258" customFormat="1" x14ac:dyDescent="0.6">
      <c r="B25" s="256" t="s">
        <v>53</v>
      </c>
      <c r="C25" s="257">
        <v>16680</v>
      </c>
      <c r="D25" s="258">
        <v>1</v>
      </c>
      <c r="E25" s="258">
        <v>1</v>
      </c>
      <c r="F25" s="258">
        <v>1</v>
      </c>
      <c r="G25" s="258">
        <v>3</v>
      </c>
      <c r="H25" s="258">
        <v>1</v>
      </c>
      <c r="I25" s="258">
        <v>1</v>
      </c>
      <c r="J25" s="258">
        <v>1</v>
      </c>
      <c r="K25" s="258">
        <v>1</v>
      </c>
      <c r="L25" s="258">
        <v>1</v>
      </c>
      <c r="M25" s="258">
        <v>1</v>
      </c>
      <c r="N25" s="258">
        <v>1</v>
      </c>
      <c r="O25" s="258">
        <v>1</v>
      </c>
      <c r="P25" s="258">
        <v>1</v>
      </c>
      <c r="Q25" s="258">
        <v>1</v>
      </c>
      <c r="R25" s="258">
        <v>1</v>
      </c>
      <c r="S25" s="258">
        <v>1</v>
      </c>
      <c r="T25" s="258">
        <f t="shared" si="1"/>
        <v>18</v>
      </c>
    </row>
    <row r="26" spans="2:23" s="258" customFormat="1" x14ac:dyDescent="0.6">
      <c r="B26" s="256" t="s">
        <v>54</v>
      </c>
      <c r="C26" s="257">
        <v>17430</v>
      </c>
      <c r="G26" s="258">
        <v>10</v>
      </c>
      <c r="T26" s="258">
        <f t="shared" si="1"/>
        <v>10</v>
      </c>
    </row>
    <row r="27" spans="2:23" s="258" customFormat="1" x14ac:dyDescent="0.6">
      <c r="B27" s="256" t="s">
        <v>55</v>
      </c>
      <c r="C27" s="257">
        <v>18180</v>
      </c>
      <c r="G27" s="258">
        <v>2</v>
      </c>
      <c r="T27" s="258">
        <f t="shared" si="1"/>
        <v>2</v>
      </c>
    </row>
    <row r="28" spans="2:23" s="258" customFormat="1" x14ac:dyDescent="0.6">
      <c r="B28" s="256" t="s">
        <v>56</v>
      </c>
      <c r="C28" s="257">
        <v>18930</v>
      </c>
      <c r="G28" s="258">
        <v>1</v>
      </c>
      <c r="T28" s="258">
        <f t="shared" si="1"/>
        <v>1</v>
      </c>
      <c r="W28" s="258">
        <v>3</v>
      </c>
    </row>
    <row r="29" spans="2:23" s="258" customFormat="1" x14ac:dyDescent="0.6">
      <c r="B29" s="256" t="s">
        <v>57</v>
      </c>
      <c r="C29" s="257">
        <v>21150</v>
      </c>
      <c r="G29" s="258">
        <v>1</v>
      </c>
      <c r="T29" s="258">
        <f t="shared" si="1"/>
        <v>1</v>
      </c>
      <c r="W29" s="258">
        <v>4</v>
      </c>
    </row>
    <row r="30" spans="2:23" x14ac:dyDescent="0.6">
      <c r="B30" s="22"/>
      <c r="T30">
        <f t="shared" si="1"/>
        <v>0</v>
      </c>
      <c r="W30">
        <v>10</v>
      </c>
    </row>
    <row r="31" spans="2:23" x14ac:dyDescent="0.6">
      <c r="B31" s="22"/>
      <c r="T31">
        <f t="shared" si="1"/>
        <v>0</v>
      </c>
      <c r="W31">
        <v>2</v>
      </c>
    </row>
    <row r="32" spans="2:23" x14ac:dyDescent="0.6">
      <c r="B32" s="22"/>
      <c r="T32">
        <f t="shared" si="1"/>
        <v>0</v>
      </c>
      <c r="W32">
        <v>1</v>
      </c>
    </row>
    <row r="33" spans="1:23" x14ac:dyDescent="0.6">
      <c r="B33" s="22"/>
      <c r="T33">
        <f t="shared" si="1"/>
        <v>0</v>
      </c>
      <c r="W33">
        <v>1</v>
      </c>
    </row>
    <row r="34" spans="1:23" x14ac:dyDescent="0.6">
      <c r="D34" s="136">
        <f>$C$5*D5+$C$6*D6+$C$7*D7+$C$8*D8+$C$9*D9+$C$10*D10+$C$11*D11+$C$12*D12+$C$13*D13+$C$14*D14+$C$15*D15+$C$16*D16+$C$17*D17+$C$18*D18+$C$19*D19+$C$20*D20+$C$21*D21+$C$22*D22+$C$23*D23+$C$24*D24+$C$25*D25+$C$26*D26+$C$27*D27+$C$28*D28+$C$29*D29+$C$30*D30+$C$31*D31+$C$32*D32+$C$33*D33</f>
        <v>3158520</v>
      </c>
      <c r="E34" s="26">
        <f t="shared" ref="E34:S34" si="2">$C$5*E5+$C$6*E6+$C$7*E7+$C$8*E8+$C$9*E9+$C$10*E10+$C$11*E11+$C$12*E12+$C$13*E13+$C$14*E14+$C$15*E15+$C$16*E16+$C$17*E17+$C$18*E18+$C$19*E19+$C$20*E20+$C$21*E21+$C$22*E22+$C$23*E23+$C$24*E24+$C$25*E25+$C$26*E26+$C$27*E27+$C$28*E28+$C$29*E29+$C$30*E30+$C$31*E31+$C$32*E32+$C$33*E33</f>
        <v>2633310</v>
      </c>
      <c r="F34" s="26">
        <f t="shared" si="2"/>
        <v>2077710</v>
      </c>
      <c r="G34" s="26">
        <f>$C$5*G5+$C$6*G6+$C$7*G7+$C$8*G8+$C$9*G9+$C$10*G10+$C$11*G11+$C$12*G12+$C$13*G13+$C$14*G14+$C$15*G15+$C$16*G16+$C$17*G17+$C$18*G18+$C$19*G19+$C$20*G20+$C$21*G21+$C$22*G22+$C$23*G23+$C$24*G24+$C$25*G25+$C$26*G26+$C$27*G27+$C$28*G28+$C$29*G29+$C$30*G30+$C$31*G31+$C$32*G32+$C$33*G33</f>
        <v>659310</v>
      </c>
      <c r="H34" s="117">
        <f t="shared" si="2"/>
        <v>3072960</v>
      </c>
      <c r="I34" s="117">
        <f t="shared" si="2"/>
        <v>1501320</v>
      </c>
      <c r="J34" s="262">
        <f t="shared" si="2"/>
        <v>2581380</v>
      </c>
      <c r="K34" s="136">
        <f>$C$5*K5+$C$6*K6+$C$7*K7+$C$8*K8+$C$9*K9+$C$10*K10+$C$11*K11+$C$12*K12+$C$13*K13+$C$14*K14+$C$15*K15+$C$16*K16+$C$17*K17+$C$18*K18+$C$19*K19+$C$20*K20+$C$21*K21+$C$22*K22+$C$23*K23+$C$24*K24+$C$25*K25+$C$26*K26+$C$27*K27+$C$28*K28+$C$29*K29+$C$30*K30+$C$31*K31+$C$32*K32+$C$33*K33</f>
        <v>1769850</v>
      </c>
      <c r="L34" s="136">
        <f t="shared" si="2"/>
        <v>1962180</v>
      </c>
      <c r="M34" s="136">
        <f t="shared" si="2"/>
        <v>1620000</v>
      </c>
      <c r="N34" s="136">
        <f t="shared" si="2"/>
        <v>3006240</v>
      </c>
      <c r="O34" s="136">
        <f t="shared" si="2"/>
        <v>1930740</v>
      </c>
      <c r="P34" s="26">
        <f t="shared" si="2"/>
        <v>4345890</v>
      </c>
      <c r="Q34" s="136">
        <f t="shared" si="2"/>
        <v>1756590</v>
      </c>
      <c r="R34" s="26">
        <f t="shared" si="2"/>
        <v>1869030</v>
      </c>
      <c r="S34" s="26">
        <f t="shared" si="2"/>
        <v>1836990</v>
      </c>
      <c r="T34" s="26">
        <f>$C$5*T5+$C$6*T6+$C$7*T7+$C$8*T8+$C$9*T9+$C$10*T10+$C$11*T11+$C$12*T12+$C$13*T13+$C$14*T14+$C$15*T15+$C$16*T16+$C$17*T17+$C$18*T18+$C$19*T19+$C$20*T20+$C$21*T21+$C$22*T22+$C$23*T23+$C$24*T24+$C$25*T25+$C$26*T26+$C$27*T27+$C$28*T28+$C$29*T29+$C$30*T30+$C$31*T31+$C$32*T32+$C$33*T33</f>
        <v>35782020</v>
      </c>
    </row>
    <row r="35" spans="1:23" x14ac:dyDescent="0.6">
      <c r="A35">
        <f>SUM(A4:A34)</f>
        <v>0</v>
      </c>
      <c r="B35" s="347" t="s">
        <v>125</v>
      </c>
      <c r="C35" s="344"/>
      <c r="D35" s="258">
        <f t="shared" ref="D35:N35" si="3">SUM(D5:D33)</f>
        <v>372</v>
      </c>
      <c r="E35">
        <f t="shared" si="3"/>
        <v>309</v>
      </c>
      <c r="F35">
        <f t="shared" si="3"/>
        <v>235</v>
      </c>
      <c r="G35">
        <f>SUM(G5:G33)</f>
        <v>56</v>
      </c>
      <c r="H35">
        <f t="shared" si="3"/>
        <v>364</v>
      </c>
      <c r="I35">
        <f t="shared" si="3"/>
        <v>173</v>
      </c>
      <c r="J35" s="258">
        <f t="shared" si="3"/>
        <v>321</v>
      </c>
      <c r="K35" s="258">
        <f t="shared" si="3"/>
        <v>211</v>
      </c>
      <c r="L35" s="258">
        <f t="shared" si="3"/>
        <v>226</v>
      </c>
      <c r="M35" s="258">
        <f t="shared" si="3"/>
        <v>203</v>
      </c>
      <c r="N35" s="258">
        <f t="shared" si="3"/>
        <v>368</v>
      </c>
      <c r="O35" s="258">
        <f>SUM(O5:O33)</f>
        <v>228</v>
      </c>
      <c r="P35">
        <f t="shared" ref="P35:S35" si="4">SUM(P5:P33)</f>
        <v>483</v>
      </c>
      <c r="Q35" s="258">
        <f t="shared" si="4"/>
        <v>203</v>
      </c>
      <c r="R35">
        <f t="shared" si="4"/>
        <v>230</v>
      </c>
      <c r="S35">
        <f t="shared" si="4"/>
        <v>226</v>
      </c>
      <c r="T35">
        <f>SUM(T5:T33)</f>
        <v>4208</v>
      </c>
    </row>
    <row r="36" spans="1:23" x14ac:dyDescent="0.6">
      <c r="B36" s="347" t="s">
        <v>191</v>
      </c>
      <c r="C36" s="344"/>
      <c r="D36" s="136">
        <f>D34*5/1000</f>
        <v>15792.6</v>
      </c>
      <c r="E36" s="26">
        <f t="shared" ref="E36:T36" si="5">E34*5/1000</f>
        <v>13166.55</v>
      </c>
      <c r="F36" s="26">
        <f t="shared" si="5"/>
        <v>10388.549999999999</v>
      </c>
      <c r="G36" s="26">
        <f t="shared" si="5"/>
        <v>3296.55</v>
      </c>
      <c r="H36" s="26">
        <f t="shared" si="5"/>
        <v>15364.8</v>
      </c>
      <c r="I36" s="26">
        <f t="shared" si="5"/>
        <v>7506.6</v>
      </c>
      <c r="J36" s="136">
        <f t="shared" si="5"/>
        <v>12906.9</v>
      </c>
      <c r="K36" s="136">
        <f t="shared" si="5"/>
        <v>8849.25</v>
      </c>
      <c r="L36" s="136">
        <f t="shared" si="5"/>
        <v>9810.9</v>
      </c>
      <c r="M36" s="136">
        <f t="shared" si="5"/>
        <v>8100</v>
      </c>
      <c r="N36" s="136">
        <f t="shared" si="5"/>
        <v>15031.2</v>
      </c>
      <c r="O36" s="136">
        <f t="shared" si="5"/>
        <v>9653.7000000000007</v>
      </c>
      <c r="P36" s="26">
        <f t="shared" si="5"/>
        <v>21729.45</v>
      </c>
      <c r="Q36" s="136">
        <f t="shared" si="5"/>
        <v>8782.9500000000007</v>
      </c>
      <c r="R36" s="26">
        <f t="shared" si="5"/>
        <v>9345.15</v>
      </c>
      <c r="S36" s="26">
        <f t="shared" si="5"/>
        <v>9184.9500000000007</v>
      </c>
      <c r="T36" s="26">
        <f t="shared" si="5"/>
        <v>178910.1</v>
      </c>
      <c r="U36" s="26">
        <f>SUM(T36:T36,T39)</f>
        <v>252510.25000000003</v>
      </c>
    </row>
    <row r="37" spans="1:23" x14ac:dyDescent="0.6">
      <c r="B37" s="354" t="s">
        <v>319</v>
      </c>
      <c r="C37" s="344"/>
      <c r="D37" s="136"/>
      <c r="E37" s="26"/>
      <c r="F37" s="26"/>
      <c r="G37" s="26"/>
      <c r="H37" s="26"/>
      <c r="I37" s="26"/>
      <c r="J37" s="136"/>
      <c r="K37" s="136"/>
      <c r="L37" s="136"/>
      <c r="M37" s="136"/>
      <c r="N37" s="136"/>
      <c r="O37" s="136"/>
      <c r="P37" s="26"/>
      <c r="Q37" s="136"/>
      <c r="R37" s="26"/>
      <c r="S37" s="26"/>
      <c r="T37" s="26">
        <f>T35*120/1000*5</f>
        <v>2524.7999999999997</v>
      </c>
    </row>
    <row r="38" spans="1:23" x14ac:dyDescent="0.6">
      <c r="B38" s="347" t="s">
        <v>192</v>
      </c>
      <c r="C38" s="344"/>
      <c r="D38" s="136">
        <v>1341.65</v>
      </c>
      <c r="E38" s="26">
        <v>955.7</v>
      </c>
      <c r="F38" s="26">
        <v>1232.1300000000001</v>
      </c>
      <c r="G38" s="26">
        <v>163.72</v>
      </c>
      <c r="H38" s="26">
        <v>768.06999999999994</v>
      </c>
      <c r="I38" s="26">
        <v>1251</v>
      </c>
      <c r="J38" s="136">
        <v>877.95</v>
      </c>
      <c r="K38" s="136">
        <v>840.9200000000003</v>
      </c>
      <c r="L38" s="136">
        <v>535.61</v>
      </c>
      <c r="M38" s="136">
        <v>407.37</v>
      </c>
      <c r="N38" s="136">
        <v>734.39</v>
      </c>
      <c r="O38" s="136">
        <v>504.87</v>
      </c>
      <c r="P38" s="26">
        <v>1116.29</v>
      </c>
      <c r="Q38" s="136">
        <v>609.72</v>
      </c>
      <c r="R38" s="26">
        <v>582.98</v>
      </c>
      <c r="S38" s="26">
        <v>533.49</v>
      </c>
      <c r="T38" s="26">
        <f>SUM(D38:S38)</f>
        <v>12455.86</v>
      </c>
    </row>
    <row r="39" spans="1:23" x14ac:dyDescent="0.6">
      <c r="B39" s="347" t="s">
        <v>78</v>
      </c>
      <c r="C39" s="344"/>
      <c r="D39" s="136">
        <f>'EMPLEO Y SALARIO'!L7</f>
        <v>4957.5600000000004</v>
      </c>
      <c r="E39" s="26">
        <f>'EMPLEO Y SALARIO'!L8</f>
        <v>5962.61</v>
      </c>
      <c r="F39" s="26">
        <f>'EMPLEO Y SALARIO'!L10</f>
        <v>7884.9</v>
      </c>
      <c r="G39" s="26">
        <f>'EMPLEO Y SALARIO'!L9</f>
        <v>1082.72</v>
      </c>
      <c r="H39" s="26">
        <f>'EMPLEO Y SALARIO'!L11</f>
        <v>4030.59</v>
      </c>
      <c r="I39" s="26">
        <f>'EMPLEO Y SALARIO'!L12</f>
        <v>3687.79</v>
      </c>
      <c r="J39" s="136">
        <f>'EMPLEO Y SALARIO'!L13</f>
        <v>4853.17</v>
      </c>
      <c r="K39" s="136">
        <f>'EMPLEO Y SALARIO'!L14</f>
        <v>4825.82</v>
      </c>
      <c r="L39" s="136">
        <f>'EMPLEO Y SALARIO'!L15</f>
        <v>3304.66</v>
      </c>
      <c r="M39" s="136">
        <f>'EMPLEO Y SALARIO'!L16</f>
        <v>3178.18</v>
      </c>
      <c r="N39" s="136">
        <f>'EMPLEO Y SALARIO'!L17</f>
        <v>4258.4799999999996</v>
      </c>
      <c r="O39" s="136">
        <f>'EMPLEO Y SALARIO'!L18</f>
        <v>3081.3</v>
      </c>
      <c r="P39" s="26">
        <f>'EMPLEO Y SALARIO'!L19</f>
        <v>11651.85</v>
      </c>
      <c r="Q39" s="136">
        <f>'EMPLEO Y SALARIO'!L20</f>
        <v>3685.09</v>
      </c>
      <c r="R39" s="26">
        <f>'EMPLEO Y SALARIO'!L21</f>
        <v>3829.86</v>
      </c>
      <c r="S39" s="26">
        <f>'EMPLEO Y SALARIO'!L22</f>
        <v>3325.57</v>
      </c>
      <c r="T39" s="26">
        <f>SUM(D39:S39)</f>
        <v>73600.150000000023</v>
      </c>
    </row>
    <row r="40" spans="1:23" x14ac:dyDescent="0.6">
      <c r="B40" s="355" t="s">
        <v>193</v>
      </c>
      <c r="C40" s="355"/>
      <c r="D40" s="136">
        <f t="shared" ref="D40:S40" si="6">SUM(D36:D39)</f>
        <v>22091.81</v>
      </c>
      <c r="E40" s="26">
        <f t="shared" si="6"/>
        <v>20084.86</v>
      </c>
      <c r="F40" s="26">
        <f t="shared" si="6"/>
        <v>19505.580000000002</v>
      </c>
      <c r="G40" s="26">
        <f t="shared" si="6"/>
        <v>4542.99</v>
      </c>
      <c r="H40" s="26">
        <f t="shared" si="6"/>
        <v>20163.46</v>
      </c>
      <c r="I40" s="26">
        <f t="shared" si="6"/>
        <v>12445.39</v>
      </c>
      <c r="J40" s="136">
        <f t="shared" si="6"/>
        <v>18638.02</v>
      </c>
      <c r="K40" s="136">
        <f t="shared" si="6"/>
        <v>14515.99</v>
      </c>
      <c r="L40" s="136">
        <f t="shared" si="6"/>
        <v>13651.17</v>
      </c>
      <c r="M40" s="136">
        <f t="shared" si="6"/>
        <v>11685.550000000001</v>
      </c>
      <c r="N40" s="136">
        <f t="shared" si="6"/>
        <v>20024.07</v>
      </c>
      <c r="O40" s="136">
        <f t="shared" si="6"/>
        <v>13239.870000000003</v>
      </c>
      <c r="P40" s="26">
        <f t="shared" si="6"/>
        <v>34497.590000000004</v>
      </c>
      <c r="Q40" s="136">
        <f t="shared" si="6"/>
        <v>13077.76</v>
      </c>
      <c r="R40" s="26">
        <f t="shared" si="6"/>
        <v>13757.99</v>
      </c>
      <c r="S40" s="26">
        <f t="shared" si="6"/>
        <v>13044.01</v>
      </c>
      <c r="T40" s="26">
        <f>SUM(D40:S40)</f>
        <v>264966.11</v>
      </c>
    </row>
    <row r="41" spans="1:23" x14ac:dyDescent="0.6">
      <c r="B41" s="344" t="s">
        <v>195</v>
      </c>
      <c r="C41" s="344"/>
      <c r="D41" s="136">
        <f>D40/'EMPLEO Y SALARIO'!D7</f>
        <v>0.16082130220658744</v>
      </c>
      <c r="E41" s="26">
        <f>E40/'EMPLEO Y SALARIO'!D8</f>
        <v>7.5793652051541108E-2</v>
      </c>
      <c r="F41" s="26">
        <f>F40/'EMPLEO Y SALARIO'!D10</f>
        <v>6.7936800348823601E-2</v>
      </c>
      <c r="G41" s="26">
        <f>G40/'EMPLEO Y SALARIO'!D9</f>
        <v>0.12100145638877377</v>
      </c>
      <c r="H41" s="26">
        <f>H40/'EMPLEO Y SALARIO'!D11</f>
        <v>0.18114680570173133</v>
      </c>
      <c r="I41" s="26">
        <f>I40/'EMPLEO Y SALARIO'!D12</f>
        <v>9.1128225806983043E-2</v>
      </c>
      <c r="J41" s="136">
        <f>J40/'EMPLEO Y SALARIO'!D13</f>
        <v>0.36839353669472802</v>
      </c>
      <c r="K41" s="136">
        <f>K40/'EMPLEO Y SALARIO'!D14</f>
        <v>0.12827998566614218</v>
      </c>
      <c r="L41" s="136">
        <f>L40/'EMPLEO Y SALARIO'!D15</f>
        <v>0.14346779334757448</v>
      </c>
      <c r="M41" s="136">
        <f>M40/'EMPLEO Y SALARIO'!D16</f>
        <v>0.26833002787423965</v>
      </c>
      <c r="N41" s="136">
        <f>N40/'EMPLEO Y SALARIO'!D17</f>
        <v>9.5059410737203975E-2</v>
      </c>
      <c r="O41" s="136">
        <f>O40/'EMPLEO Y SALARIO'!D18</f>
        <v>0.28876186240825363</v>
      </c>
      <c r="P41" s="26">
        <f>P40/'EMPLEO Y SALARIO'!D19</f>
        <v>0.16760996370432044</v>
      </c>
      <c r="Q41" s="136">
        <f>Q40/'EMPLEO Y SALARIO'!D20</f>
        <v>0.15009006372460412</v>
      </c>
      <c r="R41" s="26">
        <f>R40/'EMPLEO Y SALARIO'!D21</f>
        <v>0.14848153293318045</v>
      </c>
      <c r="S41" s="136">
        <f>S40/'EMPLEO Y SALARIO'!D22</f>
        <v>0.27567973580078209</v>
      </c>
      <c r="T41" s="26">
        <f>T40/'EMPLEO Y SALARIO'!D23</f>
        <v>0.13472084708103799</v>
      </c>
    </row>
    <row r="42" spans="1:23" x14ac:dyDescent="0.6">
      <c r="D42" s="136"/>
      <c r="E42" s="26"/>
      <c r="F42" s="26"/>
      <c r="G42" s="26"/>
      <c r="H42" s="26"/>
      <c r="I42" s="26"/>
      <c r="J42" s="136"/>
      <c r="K42" s="136"/>
      <c r="L42" s="136"/>
      <c r="M42" s="136"/>
      <c r="N42" s="136"/>
      <c r="O42" s="136"/>
      <c r="P42" s="26"/>
      <c r="Q42" s="136"/>
      <c r="R42" s="26"/>
      <c r="S42" s="26"/>
      <c r="T42" s="26"/>
    </row>
    <row r="44" spans="1:23" x14ac:dyDescent="0.6">
      <c r="B44" s="344" t="s">
        <v>313</v>
      </c>
      <c r="C44" s="344"/>
      <c r="D44" s="260">
        <f t="shared" ref="D44:T44" si="7">D34*12/1000</f>
        <v>37902.239999999998</v>
      </c>
      <c r="E44" s="252">
        <f t="shared" si="7"/>
        <v>31599.72</v>
      </c>
      <c r="F44" s="252">
        <f t="shared" si="7"/>
        <v>24932.52</v>
      </c>
      <c r="G44" s="252">
        <f t="shared" si="7"/>
        <v>7911.72</v>
      </c>
      <c r="H44" s="252">
        <f t="shared" si="7"/>
        <v>36875.519999999997</v>
      </c>
      <c r="I44" s="252">
        <f t="shared" si="7"/>
        <v>18015.84</v>
      </c>
      <c r="J44" s="260">
        <f t="shared" si="7"/>
        <v>30976.560000000001</v>
      </c>
      <c r="K44" s="260">
        <f t="shared" si="7"/>
        <v>21238.2</v>
      </c>
      <c r="L44" s="260">
        <f t="shared" si="7"/>
        <v>23546.16</v>
      </c>
      <c r="M44" s="260">
        <f t="shared" si="7"/>
        <v>19440</v>
      </c>
      <c r="N44" s="260">
        <f t="shared" si="7"/>
        <v>36074.879999999997</v>
      </c>
      <c r="O44" s="260">
        <f t="shared" si="7"/>
        <v>23168.880000000001</v>
      </c>
      <c r="P44" s="252">
        <f t="shared" si="7"/>
        <v>52150.68</v>
      </c>
      <c r="Q44" s="260">
        <f t="shared" si="7"/>
        <v>21079.08</v>
      </c>
      <c r="R44" s="252">
        <f t="shared" si="7"/>
        <v>22428.36</v>
      </c>
      <c r="S44" s="252">
        <f t="shared" si="7"/>
        <v>22043.88</v>
      </c>
      <c r="T44" s="252">
        <f t="shared" si="7"/>
        <v>429384.24</v>
      </c>
    </row>
    <row r="45" spans="1:23" x14ac:dyDescent="0.6">
      <c r="B45" s="254"/>
      <c r="C45" s="254"/>
      <c r="D45" s="261">
        <f t="shared" ref="D45:T45" si="8">1200*12*D35/1000</f>
        <v>5356.8</v>
      </c>
      <c r="E45" s="255">
        <f t="shared" si="8"/>
        <v>4449.6000000000004</v>
      </c>
      <c r="F45" s="255">
        <f t="shared" si="8"/>
        <v>3384</v>
      </c>
      <c r="G45" s="255">
        <f t="shared" si="8"/>
        <v>806.4</v>
      </c>
      <c r="H45" s="255">
        <f t="shared" si="8"/>
        <v>5241.6000000000004</v>
      </c>
      <c r="I45" s="255">
        <f t="shared" si="8"/>
        <v>2491.1999999999998</v>
      </c>
      <c r="J45" s="261">
        <f t="shared" si="8"/>
        <v>4622.3999999999996</v>
      </c>
      <c r="K45" s="261">
        <f t="shared" si="8"/>
        <v>3038.4</v>
      </c>
      <c r="L45" s="261">
        <f t="shared" si="8"/>
        <v>3254.4</v>
      </c>
      <c r="M45" s="261">
        <f t="shared" si="8"/>
        <v>2923.2</v>
      </c>
      <c r="N45" s="261">
        <f t="shared" si="8"/>
        <v>5299.2</v>
      </c>
      <c r="O45" s="261">
        <f t="shared" si="8"/>
        <v>3283.2</v>
      </c>
      <c r="P45" s="255">
        <f t="shared" si="8"/>
        <v>6955.2</v>
      </c>
      <c r="Q45" s="261">
        <f t="shared" si="8"/>
        <v>2923.2</v>
      </c>
      <c r="R45" s="255">
        <f t="shared" si="8"/>
        <v>3312</v>
      </c>
      <c r="S45" s="255">
        <f t="shared" si="8"/>
        <v>3254.4</v>
      </c>
      <c r="T45" s="255">
        <f t="shared" si="8"/>
        <v>60595.199999999997</v>
      </c>
    </row>
    <row r="46" spans="1:23" x14ac:dyDescent="0.6">
      <c r="B46" s="254"/>
      <c r="C46" s="254"/>
      <c r="D46" s="260">
        <f t="shared" ref="D46:T46" si="9">SUM(D44:D44)</f>
        <v>37902.239999999998</v>
      </c>
      <c r="E46" s="252">
        <f t="shared" si="9"/>
        <v>31599.72</v>
      </c>
      <c r="F46" s="252">
        <f t="shared" si="9"/>
        <v>24932.52</v>
      </c>
      <c r="G46" s="252">
        <f t="shared" si="9"/>
        <v>7911.72</v>
      </c>
      <c r="H46" s="252">
        <f t="shared" si="9"/>
        <v>36875.519999999997</v>
      </c>
      <c r="I46" s="252">
        <f t="shared" si="9"/>
        <v>18015.84</v>
      </c>
      <c r="J46" s="260">
        <f t="shared" si="9"/>
        <v>30976.560000000001</v>
      </c>
      <c r="K46" s="260">
        <f t="shared" si="9"/>
        <v>21238.2</v>
      </c>
      <c r="L46" s="260">
        <f t="shared" si="9"/>
        <v>23546.16</v>
      </c>
      <c r="M46" s="260">
        <f t="shared" si="9"/>
        <v>19440</v>
      </c>
      <c r="N46" s="260">
        <f t="shared" si="9"/>
        <v>36074.879999999997</v>
      </c>
      <c r="O46" s="260">
        <f t="shared" si="9"/>
        <v>23168.880000000001</v>
      </c>
      <c r="P46" s="252">
        <f t="shared" si="9"/>
        <v>52150.68</v>
      </c>
      <c r="Q46" s="260">
        <f t="shared" si="9"/>
        <v>21079.08</v>
      </c>
      <c r="R46" s="252">
        <f t="shared" si="9"/>
        <v>22428.36</v>
      </c>
      <c r="S46" s="252">
        <f t="shared" si="9"/>
        <v>22043.88</v>
      </c>
      <c r="T46" s="252">
        <f t="shared" si="9"/>
        <v>429384.24</v>
      </c>
    </row>
    <row r="48" spans="1:23" x14ac:dyDescent="0.6">
      <c r="C48" s="26">
        <f t="shared" ref="C48:T48" si="10">C39+C36+C38</f>
        <v>0</v>
      </c>
      <c r="D48" s="136">
        <f t="shared" si="10"/>
        <v>22091.81</v>
      </c>
      <c r="E48" s="26">
        <f t="shared" si="10"/>
        <v>20084.86</v>
      </c>
      <c r="F48" s="26">
        <f t="shared" si="10"/>
        <v>19505.579999999998</v>
      </c>
      <c r="G48" s="26">
        <f t="shared" si="10"/>
        <v>4542.9900000000007</v>
      </c>
      <c r="H48" s="26">
        <f t="shared" si="10"/>
        <v>20163.46</v>
      </c>
      <c r="I48" s="26">
        <f t="shared" si="10"/>
        <v>12445.39</v>
      </c>
      <c r="J48" s="136">
        <f t="shared" si="10"/>
        <v>18638.02</v>
      </c>
      <c r="K48" s="136">
        <f t="shared" si="10"/>
        <v>14515.99</v>
      </c>
      <c r="L48" s="136">
        <f t="shared" si="10"/>
        <v>13651.17</v>
      </c>
      <c r="M48" s="136">
        <f t="shared" si="10"/>
        <v>11685.550000000001</v>
      </c>
      <c r="N48" s="136">
        <f t="shared" si="10"/>
        <v>20024.07</v>
      </c>
      <c r="O48" s="136">
        <f t="shared" si="10"/>
        <v>13239.87</v>
      </c>
      <c r="P48" s="26">
        <f t="shared" si="10"/>
        <v>34497.590000000004</v>
      </c>
      <c r="Q48" s="136">
        <f t="shared" si="10"/>
        <v>13077.76</v>
      </c>
      <c r="R48" s="26">
        <f t="shared" si="10"/>
        <v>13757.99</v>
      </c>
      <c r="S48" s="26">
        <f t="shared" si="10"/>
        <v>13044.01</v>
      </c>
      <c r="T48" s="26">
        <f t="shared" si="10"/>
        <v>264966.11000000004</v>
      </c>
    </row>
    <row r="49" spans="4:20" x14ac:dyDescent="0.6">
      <c r="D49" s="136">
        <f>D48*0.3</f>
        <v>6627.5430000000006</v>
      </c>
      <c r="E49" s="26">
        <f t="shared" ref="E49:T49" si="11">E48*0.3</f>
        <v>6025.4579999999996</v>
      </c>
      <c r="F49" s="26">
        <f t="shared" si="11"/>
        <v>5851.6739999999991</v>
      </c>
      <c r="G49" s="26">
        <f t="shared" si="11"/>
        <v>1362.8970000000002</v>
      </c>
      <c r="H49" s="26">
        <f t="shared" si="11"/>
        <v>6049.0379999999996</v>
      </c>
      <c r="I49" s="26">
        <f t="shared" si="11"/>
        <v>3733.6169999999997</v>
      </c>
      <c r="J49" s="136">
        <f t="shared" si="11"/>
        <v>5591.4059999999999</v>
      </c>
      <c r="K49" s="136">
        <f t="shared" si="11"/>
        <v>4354.7969999999996</v>
      </c>
      <c r="L49" s="136">
        <f t="shared" si="11"/>
        <v>4095.3509999999997</v>
      </c>
      <c r="M49" s="136">
        <f t="shared" si="11"/>
        <v>3505.6650000000004</v>
      </c>
      <c r="N49" s="136">
        <f t="shared" si="11"/>
        <v>6007.2209999999995</v>
      </c>
      <c r="O49" s="136">
        <f t="shared" si="11"/>
        <v>3971.9610000000002</v>
      </c>
      <c r="P49" s="26">
        <f t="shared" si="11"/>
        <v>10349.277</v>
      </c>
      <c r="Q49" s="136">
        <f t="shared" si="11"/>
        <v>3923.328</v>
      </c>
      <c r="R49" s="26">
        <f t="shared" si="11"/>
        <v>4127.3969999999999</v>
      </c>
      <c r="S49" s="26">
        <f t="shared" si="11"/>
        <v>3913.203</v>
      </c>
      <c r="T49" s="26">
        <f t="shared" si="11"/>
        <v>79489.833000000013</v>
      </c>
    </row>
    <row r="50" spans="4:20" x14ac:dyDescent="0.6">
      <c r="D50" s="136">
        <f t="shared" ref="D50:T50" si="12">D35*1200*12/1000</f>
        <v>5356.8</v>
      </c>
      <c r="E50" s="26">
        <f t="shared" si="12"/>
        <v>4449.6000000000004</v>
      </c>
      <c r="F50" s="26">
        <f t="shared" si="12"/>
        <v>3384</v>
      </c>
      <c r="G50" s="26">
        <f t="shared" si="12"/>
        <v>806.4</v>
      </c>
      <c r="H50" s="26">
        <f t="shared" si="12"/>
        <v>5241.6000000000004</v>
      </c>
      <c r="I50" s="26">
        <f t="shared" si="12"/>
        <v>2491.1999999999998</v>
      </c>
      <c r="J50" s="136">
        <f t="shared" si="12"/>
        <v>4622.3999999999996</v>
      </c>
      <c r="K50" s="136">
        <f t="shared" si="12"/>
        <v>3038.4</v>
      </c>
      <c r="L50" s="136">
        <f t="shared" si="12"/>
        <v>3254.4</v>
      </c>
      <c r="M50" s="136">
        <f t="shared" si="12"/>
        <v>2923.2</v>
      </c>
      <c r="N50" s="136">
        <f t="shared" si="12"/>
        <v>5299.2</v>
      </c>
      <c r="O50" s="136">
        <f t="shared" si="12"/>
        <v>3283.2</v>
      </c>
      <c r="P50" s="26">
        <f t="shared" si="12"/>
        <v>6955.2</v>
      </c>
      <c r="Q50" s="136">
        <f t="shared" si="12"/>
        <v>2923.2</v>
      </c>
      <c r="R50" s="26">
        <f t="shared" si="12"/>
        <v>3312</v>
      </c>
      <c r="S50" s="26">
        <f t="shared" si="12"/>
        <v>3254.4</v>
      </c>
      <c r="T50" s="26">
        <f t="shared" si="12"/>
        <v>60595.199999999997</v>
      </c>
    </row>
    <row r="52" spans="4:20" x14ac:dyDescent="0.6">
      <c r="G52" s="26"/>
    </row>
    <row r="53" spans="4:20" x14ac:dyDescent="0.6">
      <c r="D53" s="136">
        <f>SUM(D48:D49)</f>
        <v>28719.353000000003</v>
      </c>
      <c r="E53" s="26">
        <f t="shared" ref="E53:T53" si="13">SUM(E48:E49)</f>
        <v>26110.317999999999</v>
      </c>
      <c r="F53" s="26">
        <f t="shared" si="13"/>
        <v>25357.253999999997</v>
      </c>
      <c r="G53" s="26">
        <f t="shared" si="13"/>
        <v>5905.8870000000006</v>
      </c>
      <c r="H53" s="26">
        <f t="shared" si="13"/>
        <v>26212.498</v>
      </c>
      <c r="I53" s="26">
        <f t="shared" si="13"/>
        <v>16179.007</v>
      </c>
      <c r="J53" s="136">
        <f t="shared" si="13"/>
        <v>24229.425999999999</v>
      </c>
      <c r="K53" s="136">
        <f t="shared" si="13"/>
        <v>18870.787</v>
      </c>
      <c r="L53" s="136">
        <f t="shared" si="13"/>
        <v>17746.521000000001</v>
      </c>
      <c r="M53" s="136">
        <f t="shared" si="13"/>
        <v>15191.215000000002</v>
      </c>
      <c r="N53" s="136">
        <f t="shared" si="13"/>
        <v>26031.290999999997</v>
      </c>
      <c r="O53" s="136">
        <f t="shared" si="13"/>
        <v>17211.831000000002</v>
      </c>
      <c r="P53" s="26">
        <f t="shared" si="13"/>
        <v>44846.867000000006</v>
      </c>
      <c r="Q53" s="136">
        <f t="shared" si="13"/>
        <v>17001.088</v>
      </c>
      <c r="R53" s="26">
        <f t="shared" si="13"/>
        <v>17885.386999999999</v>
      </c>
      <c r="S53" s="26">
        <f t="shared" si="13"/>
        <v>16957.213</v>
      </c>
      <c r="T53" s="26">
        <f t="shared" si="13"/>
        <v>344455.94300000009</v>
      </c>
    </row>
    <row r="54" spans="4:20" x14ac:dyDescent="0.6">
      <c r="G54" s="26"/>
    </row>
  </sheetData>
  <mergeCells count="28">
    <mergeCell ref="B39:C39"/>
    <mergeCell ref="B40:C40"/>
    <mergeCell ref="B41:C41"/>
    <mergeCell ref="B44:C44"/>
    <mergeCell ref="S3:S4"/>
    <mergeCell ref="L3:L4"/>
    <mergeCell ref="F3:F4"/>
    <mergeCell ref="T3:T4"/>
    <mergeCell ref="B35:C35"/>
    <mergeCell ref="B36:C36"/>
    <mergeCell ref="B37:C37"/>
    <mergeCell ref="B38:C38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B2:C2"/>
    <mergeCell ref="B3:B4"/>
    <mergeCell ref="C3:C4"/>
    <mergeCell ref="D3:D4"/>
    <mergeCell ref="E3:E4"/>
  </mergeCells>
  <pageMargins left="0.70866141732283472" right="0.70866141732283472" top="0.74803149606299213" bottom="0.74803149606299213" header="0.31496062992125984" footer="0.31496062992125984"/>
  <pageSetup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P129"/>
  <sheetViews>
    <sheetView view="pageBreakPreview" zoomScale="96" zoomScaleNormal="100" zoomScaleSheetLayoutView="96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82" sqref="D82:E82"/>
    </sheetView>
  </sheetViews>
  <sheetFormatPr baseColWidth="10" defaultColWidth="11.40625" defaultRowHeight="14.75" x14ac:dyDescent="0.75"/>
  <cols>
    <col min="1" max="1" width="76.40625" style="139" customWidth="1"/>
    <col min="2" max="2" width="11.86328125" style="139" customWidth="1"/>
    <col min="3" max="3" width="14.54296875" style="139" bestFit="1" customWidth="1"/>
    <col min="4" max="6" width="13.1328125" style="139" customWidth="1"/>
    <col min="7" max="7" width="17.7265625" style="139" bestFit="1" customWidth="1"/>
    <col min="8" max="8" width="14.54296875" style="139" bestFit="1" customWidth="1"/>
    <col min="9" max="9" width="14.54296875" style="139" customWidth="1"/>
    <col min="10" max="10" width="14.54296875" style="139" bestFit="1" customWidth="1"/>
    <col min="11" max="11" width="15.1328125" style="139" customWidth="1"/>
    <col min="12" max="12" width="13.54296875" style="139" customWidth="1"/>
    <col min="13" max="13" width="14" style="139" customWidth="1"/>
    <col min="14" max="14" width="17.40625" style="139" hidden="1" customWidth="1"/>
    <col min="15" max="16" width="0" style="139" hidden="1" customWidth="1"/>
    <col min="17" max="16384" width="11.40625" style="139"/>
  </cols>
  <sheetData>
    <row r="1" spans="1:13" ht="16" x14ac:dyDescent="0.8">
      <c r="A1" s="137"/>
      <c r="B1" s="138"/>
      <c r="C1" s="137"/>
      <c r="D1" s="137"/>
      <c r="E1" s="137"/>
      <c r="F1" s="137"/>
      <c r="G1" s="137"/>
      <c r="H1" s="137"/>
      <c r="I1" s="137"/>
      <c r="J1" s="137">
        <v>1.4910000000000005</v>
      </c>
      <c r="K1" s="137"/>
      <c r="L1" s="137"/>
      <c r="M1" s="137"/>
    </row>
    <row r="2" spans="1:13" ht="23.25" customHeight="1" x14ac:dyDescent="1.1000000000000001">
      <c r="A2" s="140" t="s">
        <v>198</v>
      </c>
      <c r="B2" s="137"/>
      <c r="C2" s="137"/>
      <c r="D2" s="137"/>
      <c r="E2" s="137"/>
      <c r="F2" s="137">
        <f>750/120</f>
        <v>6.25</v>
      </c>
      <c r="G2" s="367" t="s">
        <v>199</v>
      </c>
      <c r="H2" s="367"/>
      <c r="I2" s="367"/>
      <c r="J2" s="367"/>
      <c r="K2" s="367"/>
      <c r="L2" s="367"/>
      <c r="M2" s="367"/>
    </row>
    <row r="3" spans="1:13" ht="15.75" customHeight="1" thickBot="1" x14ac:dyDescent="0.95">
      <c r="A3" s="140" t="s">
        <v>200</v>
      </c>
      <c r="B3" s="137"/>
      <c r="C3" s="137"/>
      <c r="D3" s="137"/>
      <c r="E3" s="137"/>
      <c r="F3" s="137"/>
      <c r="G3" s="137"/>
      <c r="H3" s="141">
        <f>H52-H4</f>
        <v>129885.2473186025</v>
      </c>
      <c r="I3" s="141"/>
      <c r="J3" s="141">
        <f>J52-J4</f>
        <v>101867.49222112562</v>
      </c>
      <c r="K3" s="142"/>
      <c r="L3" s="137"/>
      <c r="M3" s="137"/>
    </row>
    <row r="4" spans="1:13" ht="15.75" hidden="1" customHeight="1" thickBot="1" x14ac:dyDescent="0.95">
      <c r="A4" s="140"/>
      <c r="B4" s="137"/>
      <c r="C4" s="137"/>
      <c r="D4" s="137"/>
      <c r="E4" s="137"/>
      <c r="F4" s="137"/>
      <c r="G4" s="137"/>
      <c r="H4" s="143">
        <f>H52*5%</f>
        <v>6836.0656483475004</v>
      </c>
      <c r="I4" s="143"/>
      <c r="J4" s="143">
        <f>J52*5%</f>
        <v>5361.4469590066119</v>
      </c>
      <c r="K4" s="137"/>
      <c r="L4" s="137"/>
      <c r="M4" s="137"/>
    </row>
    <row r="5" spans="1:13" ht="9.75" customHeight="1" x14ac:dyDescent="0.75">
      <c r="A5" s="368" t="s">
        <v>95</v>
      </c>
      <c r="B5" s="368" t="s">
        <v>82</v>
      </c>
      <c r="C5" s="371" t="s">
        <v>96</v>
      </c>
      <c r="D5" s="374" t="s">
        <v>201</v>
      </c>
      <c r="E5" s="375"/>
      <c r="F5" s="376"/>
      <c r="G5" s="374" t="s">
        <v>97</v>
      </c>
      <c r="H5" s="375"/>
      <c r="I5" s="376"/>
      <c r="J5" s="371" t="s">
        <v>202</v>
      </c>
      <c r="K5" s="375"/>
      <c r="L5" s="375"/>
      <c r="M5" s="375"/>
    </row>
    <row r="6" spans="1:13" ht="16.5" customHeight="1" thickBot="1" x14ac:dyDescent="0.9">
      <c r="A6" s="369"/>
      <c r="B6" s="369"/>
      <c r="C6" s="372"/>
      <c r="D6" s="377"/>
      <c r="E6" s="378"/>
      <c r="F6" s="379"/>
      <c r="G6" s="380"/>
      <c r="H6" s="381"/>
      <c r="I6" s="382"/>
      <c r="J6" s="372"/>
      <c r="K6" s="378"/>
      <c r="L6" s="378"/>
      <c r="M6" s="378"/>
    </row>
    <row r="7" spans="1:13" ht="39.75" customHeight="1" thickBot="1" x14ac:dyDescent="0.9">
      <c r="A7" s="370"/>
      <c r="B7" s="370"/>
      <c r="C7" s="373"/>
      <c r="D7" s="144" t="s">
        <v>101</v>
      </c>
      <c r="E7" s="144" t="s">
        <v>102</v>
      </c>
      <c r="F7" s="145" t="s">
        <v>203</v>
      </c>
      <c r="G7" s="146" t="s">
        <v>101</v>
      </c>
      <c r="H7" s="147" t="s">
        <v>204</v>
      </c>
      <c r="I7" s="148" t="s">
        <v>203</v>
      </c>
      <c r="J7" s="373"/>
      <c r="K7" s="149" t="s">
        <v>205</v>
      </c>
      <c r="L7" s="146" t="s">
        <v>206</v>
      </c>
      <c r="M7" s="146" t="s">
        <v>207</v>
      </c>
    </row>
    <row r="8" spans="1:13" ht="17.25" customHeight="1" thickBot="1" x14ac:dyDescent="0.9">
      <c r="A8" s="150" t="s">
        <v>208</v>
      </c>
      <c r="B8" s="151"/>
      <c r="C8" s="152"/>
      <c r="D8" s="152"/>
      <c r="E8" s="152"/>
      <c r="F8" s="152"/>
      <c r="G8" s="152"/>
      <c r="H8" s="152"/>
      <c r="I8" s="152"/>
      <c r="J8" s="153"/>
      <c r="K8" s="154"/>
      <c r="L8" s="155"/>
      <c r="M8" s="154"/>
    </row>
    <row r="9" spans="1:13" ht="15.75" customHeight="1" thickBot="1" x14ac:dyDescent="0.9">
      <c r="A9" s="156" t="s">
        <v>209</v>
      </c>
      <c r="B9" s="157" t="s">
        <v>210</v>
      </c>
      <c r="C9" s="158"/>
      <c r="D9" s="158"/>
      <c r="E9" s="158"/>
      <c r="F9" s="158"/>
      <c r="G9" s="158"/>
      <c r="H9" s="158"/>
      <c r="I9" s="158"/>
      <c r="J9" s="158"/>
      <c r="K9" s="159"/>
      <c r="L9" s="160"/>
      <c r="M9" s="159"/>
    </row>
    <row r="10" spans="1:13" ht="15.75" customHeight="1" thickBot="1" x14ac:dyDescent="0.9">
      <c r="A10" s="161" t="s">
        <v>211</v>
      </c>
      <c r="B10" s="162" t="s">
        <v>210</v>
      </c>
      <c r="C10" s="163">
        <f t="shared" ref="C10:J13" si="0">C27+C38</f>
        <v>3.0430000000000001</v>
      </c>
      <c r="D10" s="163">
        <f t="shared" si="0"/>
        <v>2.6920000000000002</v>
      </c>
      <c r="E10" s="163">
        <f t="shared" si="0"/>
        <v>1.097</v>
      </c>
      <c r="F10" s="164">
        <f>E10/D10</f>
        <v>0.40750371471025254</v>
      </c>
      <c r="G10" s="163">
        <f t="shared" si="0"/>
        <v>6</v>
      </c>
      <c r="H10" s="163">
        <f t="shared" si="0"/>
        <v>5.4</v>
      </c>
      <c r="I10" s="164">
        <f>H10/G10</f>
        <v>0.9</v>
      </c>
      <c r="J10" s="163">
        <f t="shared" si="0"/>
        <v>5.9</v>
      </c>
      <c r="K10" s="165">
        <f t="shared" ref="K10:K25" si="1">H10/C10</f>
        <v>1.7745645744331253</v>
      </c>
      <c r="L10" s="160">
        <f t="shared" ref="L10:L14" si="2">J10/C10</f>
        <v>1.938876109102859</v>
      </c>
      <c r="M10" s="165">
        <f t="shared" ref="M10:M73" si="3">J10/H10</f>
        <v>1.0925925925925926</v>
      </c>
    </row>
    <row r="11" spans="1:13" ht="15.75" customHeight="1" thickBot="1" x14ac:dyDescent="0.9">
      <c r="A11" s="161" t="s">
        <v>212</v>
      </c>
      <c r="B11" s="162" t="s">
        <v>213</v>
      </c>
      <c r="C11" s="163">
        <f t="shared" si="0"/>
        <v>2.908642786723628</v>
      </c>
      <c r="D11" s="163">
        <f t="shared" si="0"/>
        <v>2.1846210995542346</v>
      </c>
      <c r="E11" s="163">
        <f t="shared" si="0"/>
        <v>2.6645396536007295</v>
      </c>
      <c r="F11" s="164">
        <f t="shared" ref="F11:F74" si="4">E11/D11</f>
        <v>1.2196804535781609</v>
      </c>
      <c r="G11" s="163">
        <f t="shared" si="0"/>
        <v>2.1816666666666666</v>
      </c>
      <c r="H11" s="163">
        <f t="shared" si="0"/>
        <v>1.1950000000000001</v>
      </c>
      <c r="I11" s="164">
        <f t="shared" ref="I11:I74" si="5">H11/G11</f>
        <v>0.54774637127578307</v>
      </c>
      <c r="J11" s="163">
        <f t="shared" si="0"/>
        <v>1.159322033898305</v>
      </c>
      <c r="K11" s="165">
        <f t="shared" si="1"/>
        <v>0.41084453734041354</v>
      </c>
      <c r="L11" s="160">
        <f t="shared" si="2"/>
        <v>0.39857834698367894</v>
      </c>
      <c r="M11" s="165">
        <f t="shared" si="3"/>
        <v>0.97014396142117565</v>
      </c>
    </row>
    <row r="12" spans="1:13" ht="15.75" customHeight="1" thickBot="1" x14ac:dyDescent="0.9">
      <c r="A12" s="166" t="s">
        <v>214</v>
      </c>
      <c r="B12" s="167" t="s">
        <v>210</v>
      </c>
      <c r="C12" s="163">
        <f t="shared" si="0"/>
        <v>8.8510000000000009</v>
      </c>
      <c r="D12" s="163">
        <f t="shared" si="0"/>
        <v>5.8810000000000002</v>
      </c>
      <c r="E12" s="163">
        <f t="shared" si="0"/>
        <v>2.923</v>
      </c>
      <c r="F12" s="164">
        <f t="shared" si="4"/>
        <v>0.49702431559258631</v>
      </c>
      <c r="G12" s="163">
        <f t="shared" si="0"/>
        <v>13.09</v>
      </c>
      <c r="H12" s="163">
        <f t="shared" si="0"/>
        <v>6.4530000000000003</v>
      </c>
      <c r="I12" s="164">
        <f t="shared" si="5"/>
        <v>0.49297173414820478</v>
      </c>
      <c r="J12" s="163">
        <f t="shared" si="0"/>
        <v>6.84</v>
      </c>
      <c r="K12" s="165">
        <f t="shared" si="1"/>
        <v>0.72907016156366511</v>
      </c>
      <c r="L12" s="160">
        <f t="shared" si="2"/>
        <v>0.77279403457236462</v>
      </c>
      <c r="M12" s="165">
        <f t="shared" si="3"/>
        <v>1.0599721059972105</v>
      </c>
    </row>
    <row r="13" spans="1:13" ht="15.75" customHeight="1" thickBot="1" x14ac:dyDescent="0.9">
      <c r="A13" s="161" t="s">
        <v>215</v>
      </c>
      <c r="B13" s="162" t="s">
        <v>210</v>
      </c>
      <c r="C13" s="163">
        <f t="shared" si="0"/>
        <v>1733.0419999999999</v>
      </c>
      <c r="D13" s="163">
        <f t="shared" si="0"/>
        <v>815.09199999999998</v>
      </c>
      <c r="E13" s="163">
        <f t="shared" si="0"/>
        <v>698.54499999999996</v>
      </c>
      <c r="F13" s="164">
        <f t="shared" si="4"/>
        <v>0.85701368679854539</v>
      </c>
      <c r="G13" s="163">
        <f t="shared" si="0"/>
        <v>1982.6</v>
      </c>
      <c r="H13" s="163">
        <f t="shared" si="0"/>
        <v>1982.6</v>
      </c>
      <c r="I13" s="164">
        <f t="shared" si="5"/>
        <v>1</v>
      </c>
      <c r="J13" s="163">
        <f t="shared" si="0"/>
        <v>2000</v>
      </c>
      <c r="K13" s="165">
        <f t="shared" si="1"/>
        <v>1.1439999723030372</v>
      </c>
      <c r="L13" s="160">
        <f t="shared" si="2"/>
        <v>1.1540401213588591</v>
      </c>
      <c r="M13" s="165">
        <f t="shared" si="3"/>
        <v>1.0087763542822556</v>
      </c>
    </row>
    <row r="14" spans="1:13" ht="15.75" customHeight="1" thickBot="1" x14ac:dyDescent="0.9">
      <c r="A14" s="161" t="s">
        <v>216</v>
      </c>
      <c r="B14" s="162" t="s">
        <v>210</v>
      </c>
      <c r="C14" s="168">
        <f>C12+C13</f>
        <v>1741.893</v>
      </c>
      <c r="D14" s="168">
        <f t="shared" ref="D14:E14" si="6">D12+D13</f>
        <v>820.97299999999996</v>
      </c>
      <c r="E14" s="168">
        <f t="shared" si="6"/>
        <v>701.46799999999996</v>
      </c>
      <c r="F14" s="164">
        <f t="shared" si="4"/>
        <v>0.85443492051504744</v>
      </c>
      <c r="G14" s="163">
        <f t="shared" ref="G14:J14" si="7">G12+G13</f>
        <v>1995.6899999999998</v>
      </c>
      <c r="H14" s="163">
        <f t="shared" si="7"/>
        <v>1989.0529999999999</v>
      </c>
      <c r="I14" s="164">
        <f t="shared" si="5"/>
        <v>0.99667433318802023</v>
      </c>
      <c r="J14" s="163">
        <f t="shared" si="7"/>
        <v>2006.84</v>
      </c>
      <c r="K14" s="165">
        <f t="shared" si="1"/>
        <v>1.1418916087268276</v>
      </c>
      <c r="L14" s="160">
        <f t="shared" si="2"/>
        <v>1.1521029133247565</v>
      </c>
      <c r="M14" s="165">
        <f t="shared" si="3"/>
        <v>1.0089424464808128</v>
      </c>
    </row>
    <row r="15" spans="1:13" ht="15.75" customHeight="1" thickBot="1" x14ac:dyDescent="0.9">
      <c r="A15" s="161" t="s">
        <v>217</v>
      </c>
      <c r="B15" s="162" t="s">
        <v>218</v>
      </c>
      <c r="C15" s="163">
        <f t="shared" ref="C15:J17" si="8">C32+C43</f>
        <v>1735.0740000000001</v>
      </c>
      <c r="D15" s="163">
        <f t="shared" si="8"/>
        <v>774.01167238979463</v>
      </c>
      <c r="E15" s="163">
        <f t="shared" si="8"/>
        <v>952.63389000000018</v>
      </c>
      <c r="F15" s="164">
        <f t="shared" si="4"/>
        <v>1.230774578707194</v>
      </c>
      <c r="G15" s="163">
        <f t="shared" si="8"/>
        <v>1796.9</v>
      </c>
      <c r="H15" s="163">
        <f t="shared" si="8"/>
        <v>1800</v>
      </c>
      <c r="I15" s="164">
        <f t="shared" si="5"/>
        <v>1.0017251933886138</v>
      </c>
      <c r="J15" s="163">
        <f t="shared" si="8"/>
        <v>1826.5</v>
      </c>
      <c r="K15" s="165">
        <f t="shared" si="1"/>
        <v>1.0374197296484184</v>
      </c>
      <c r="L15" s="160">
        <f>J15/C15</f>
        <v>1.05269285344602</v>
      </c>
      <c r="M15" s="165">
        <f t="shared" si="3"/>
        <v>1.0147222222222223</v>
      </c>
    </row>
    <row r="16" spans="1:13" ht="15.75" customHeight="1" thickBot="1" x14ac:dyDescent="0.9">
      <c r="A16" s="161" t="s">
        <v>219</v>
      </c>
      <c r="B16" s="162" t="s">
        <v>218</v>
      </c>
      <c r="C16" s="163">
        <f t="shared" si="8"/>
        <v>89.447000000000003</v>
      </c>
      <c r="D16" s="163">
        <f t="shared" si="8"/>
        <v>79.47288255340213</v>
      </c>
      <c r="E16" s="163">
        <f t="shared" si="8"/>
        <v>39.288110000000003</v>
      </c>
      <c r="F16" s="164">
        <f t="shared" si="4"/>
        <v>0.49435868862061466</v>
      </c>
      <c r="G16" s="163">
        <f t="shared" si="8"/>
        <v>211.70284000000001</v>
      </c>
      <c r="H16" s="163">
        <f t="shared" si="8"/>
        <v>156.30000000000001</v>
      </c>
      <c r="I16" s="164">
        <f t="shared" si="5"/>
        <v>0.73829902329132668</v>
      </c>
      <c r="J16" s="163">
        <f t="shared" si="8"/>
        <v>157.863</v>
      </c>
      <c r="K16" s="165">
        <f t="shared" si="1"/>
        <v>1.7474034903350588</v>
      </c>
      <c r="L16" s="160">
        <f t="shared" ref="L16:L25" si="9">J16/C16</f>
        <v>1.7648775252384092</v>
      </c>
      <c r="M16" s="165">
        <f t="shared" si="3"/>
        <v>1.01</v>
      </c>
    </row>
    <row r="17" spans="1:15" ht="15.75" customHeight="1" thickBot="1" x14ac:dyDescent="0.9">
      <c r="A17" s="169" t="s">
        <v>220</v>
      </c>
      <c r="B17" s="170" t="s">
        <v>221</v>
      </c>
      <c r="C17" s="163">
        <f t="shared" si="8"/>
        <v>0.3997</v>
      </c>
      <c r="D17" s="163">
        <f t="shared" si="8"/>
        <v>0.28530412374676428</v>
      </c>
      <c r="E17" s="163">
        <f t="shared" si="8"/>
        <v>0.19992041666666668</v>
      </c>
      <c r="F17" s="164">
        <f t="shared" si="4"/>
        <v>0.70072739938423001</v>
      </c>
      <c r="G17" s="163">
        <f t="shared" si="8"/>
        <v>0.73</v>
      </c>
      <c r="H17" s="163">
        <f t="shared" si="8"/>
        <v>0.48399999999999999</v>
      </c>
      <c r="I17" s="164">
        <f t="shared" si="5"/>
        <v>0.66301369863013704</v>
      </c>
      <c r="J17" s="163">
        <f t="shared" si="8"/>
        <v>0.53300000000000003</v>
      </c>
      <c r="K17" s="165">
        <f t="shared" si="1"/>
        <v>1.2109081811358517</v>
      </c>
      <c r="L17" s="160">
        <f t="shared" si="9"/>
        <v>1.3335001250938205</v>
      </c>
      <c r="M17" s="165">
        <f t="shared" si="3"/>
        <v>1.1012396694214877</v>
      </c>
    </row>
    <row r="18" spans="1:15" ht="15.75" customHeight="1" thickBot="1" x14ac:dyDescent="0.9">
      <c r="A18" s="161" t="s">
        <v>222</v>
      </c>
      <c r="B18" s="162" t="s">
        <v>223</v>
      </c>
      <c r="C18" s="168">
        <f>C15*1000/C14</f>
        <v>996.08529341354495</v>
      </c>
      <c r="D18" s="168">
        <f t="shared" ref="D18:E18" si="10">D15*1000/D14</f>
        <v>942.79796337978792</v>
      </c>
      <c r="E18" s="168">
        <f t="shared" si="10"/>
        <v>1358.0575165224932</v>
      </c>
      <c r="F18" s="164">
        <f t="shared" si="4"/>
        <v>1.4404544444008582</v>
      </c>
      <c r="G18" s="163">
        <f t="shared" ref="G18:J18" si="11">G15*1000/(G12+G13)</f>
        <v>900.39034118525433</v>
      </c>
      <c r="H18" s="163">
        <f t="shared" si="11"/>
        <v>904.95326167779342</v>
      </c>
      <c r="I18" s="164">
        <f t="shared" si="5"/>
        <v>1.0050677137279511</v>
      </c>
      <c r="J18" s="163">
        <f t="shared" si="11"/>
        <v>910.13733033027052</v>
      </c>
      <c r="K18" s="165">
        <f t="shared" si="1"/>
        <v>0.90850981101884798</v>
      </c>
      <c r="L18" s="160">
        <f t="shared" si="9"/>
        <v>0.91371425353672864</v>
      </c>
      <c r="M18" s="165">
        <f t="shared" si="3"/>
        <v>1.0057285485030085</v>
      </c>
    </row>
    <row r="19" spans="1:15" ht="15.75" customHeight="1" thickBot="1" x14ac:dyDescent="0.9">
      <c r="A19" s="161" t="s">
        <v>224</v>
      </c>
      <c r="B19" s="170" t="s">
        <v>225</v>
      </c>
      <c r="C19" s="168">
        <f t="shared" ref="C19:J19" si="12">C17*1000/C12</f>
        <v>45.158739125522537</v>
      </c>
      <c r="D19" s="168">
        <f t="shared" si="12"/>
        <v>48.512858994518666</v>
      </c>
      <c r="E19" s="168">
        <f t="shared" si="12"/>
        <v>68.395626639297532</v>
      </c>
      <c r="F19" s="164">
        <f t="shared" si="4"/>
        <v>1.4098453081692293</v>
      </c>
      <c r="G19" s="168">
        <f t="shared" si="12"/>
        <v>55.767761650114593</v>
      </c>
      <c r="H19" s="168">
        <f t="shared" si="12"/>
        <v>75.003874167054079</v>
      </c>
      <c r="I19" s="164">
        <f t="shared" si="5"/>
        <v>1.3449324833516958</v>
      </c>
      <c r="J19" s="168">
        <f t="shared" si="12"/>
        <v>77.923976608187132</v>
      </c>
      <c r="K19" s="165">
        <f t="shared" si="1"/>
        <v>1.6608938960535293</v>
      </c>
      <c r="L19" s="160">
        <f t="shared" si="9"/>
        <v>1.7255569601177492</v>
      </c>
      <c r="M19" s="165">
        <f t="shared" si="3"/>
        <v>1.0389326881252718</v>
      </c>
    </row>
    <row r="20" spans="1:15" ht="15.75" customHeight="1" thickBot="1" x14ac:dyDescent="0.9">
      <c r="A20" s="156" t="s">
        <v>226</v>
      </c>
      <c r="B20" s="157" t="s">
        <v>210</v>
      </c>
      <c r="C20" s="171">
        <f>C23*366</f>
        <v>1630.53</v>
      </c>
      <c r="D20" s="220">
        <f>'[7]Modelo 1'!J65</f>
        <v>806355</v>
      </c>
      <c r="E20" s="220">
        <f>'[7]Modelo 1'!K65</f>
        <v>806355</v>
      </c>
      <c r="F20" s="164">
        <f t="shared" si="4"/>
        <v>1</v>
      </c>
      <c r="G20" s="172">
        <f>4455*365/1000</f>
        <v>1626.075</v>
      </c>
      <c r="H20" s="172">
        <f>4455*365/1000</f>
        <v>1626.075</v>
      </c>
      <c r="I20" s="164">
        <f t="shared" si="5"/>
        <v>1</v>
      </c>
      <c r="J20" s="172">
        <f>J23*365</f>
        <v>1626.075</v>
      </c>
      <c r="K20" s="173">
        <f t="shared" si="1"/>
        <v>0.99726775956284153</v>
      </c>
      <c r="L20" s="160">
        <f t="shared" si="9"/>
        <v>0.99726775956284153</v>
      </c>
      <c r="M20" s="173">
        <f t="shared" si="3"/>
        <v>1</v>
      </c>
      <c r="O20" s="174"/>
    </row>
    <row r="21" spans="1:15" ht="15.75" customHeight="1" thickBot="1" x14ac:dyDescent="0.9">
      <c r="A21" s="156" t="s">
        <v>227</v>
      </c>
      <c r="B21" s="157" t="s">
        <v>210</v>
      </c>
      <c r="C21" s="171">
        <v>280.11500000000001</v>
      </c>
      <c r="D21" s="220">
        <f>'[7]Modelo 1'!J66</f>
        <v>145693</v>
      </c>
      <c r="E21" s="220">
        <f>'[7]Modelo 1'!K66</f>
        <v>116532</v>
      </c>
      <c r="F21" s="164">
        <f t="shared" si="4"/>
        <v>0.7998462520505446</v>
      </c>
      <c r="G21" s="171">
        <v>340.5</v>
      </c>
      <c r="H21" s="172">
        <v>340.5</v>
      </c>
      <c r="I21" s="164">
        <f t="shared" si="5"/>
        <v>1</v>
      </c>
      <c r="J21" s="172">
        <f>J24*365*38%</f>
        <v>367.55500000000001</v>
      </c>
      <c r="K21" s="173">
        <f t="shared" si="1"/>
        <v>1.2155721757135463</v>
      </c>
      <c r="L21" s="160">
        <f t="shared" si="9"/>
        <v>1.312157506738304</v>
      </c>
      <c r="M21" s="173">
        <f t="shared" si="3"/>
        <v>1.0794566813509545</v>
      </c>
    </row>
    <row r="22" spans="1:15" ht="16" thickBot="1" x14ac:dyDescent="0.9">
      <c r="A22" s="175" t="s">
        <v>228</v>
      </c>
      <c r="B22" s="176" t="s">
        <v>203</v>
      </c>
      <c r="C22" s="177">
        <f>C21/C20*100</f>
        <v>17.179383390676652</v>
      </c>
      <c r="D22" s="177">
        <f t="shared" ref="D22:E22" si="13">D21/D20*100</f>
        <v>18.068096557967646</v>
      </c>
      <c r="E22" s="177">
        <f t="shared" si="13"/>
        <v>14.451699313577768</v>
      </c>
      <c r="F22" s="164">
        <f t="shared" si="4"/>
        <v>0.7998462520505446</v>
      </c>
      <c r="G22" s="177">
        <f>G21/G20*100</f>
        <v>20.939993542733269</v>
      </c>
      <c r="H22" s="177">
        <f>H21/H20*100</f>
        <v>20.939993542733269</v>
      </c>
      <c r="I22" s="164">
        <f t="shared" si="5"/>
        <v>1</v>
      </c>
      <c r="J22" s="177">
        <f>J21/J20*100</f>
        <v>22.603815937149271</v>
      </c>
      <c r="K22" s="178">
        <f t="shared" si="1"/>
        <v>1.2189025104415285</v>
      </c>
      <c r="L22" s="160">
        <f t="shared" si="9"/>
        <v>1.3157524588115594</v>
      </c>
      <c r="M22" s="178">
        <f t="shared" si="3"/>
        <v>1.0794566813509545</v>
      </c>
    </row>
    <row r="23" spans="1:15" ht="15.75" customHeight="1" thickBot="1" x14ac:dyDescent="0.9">
      <c r="A23" s="156" t="s">
        <v>229</v>
      </c>
      <c r="B23" s="157" t="s">
        <v>210</v>
      </c>
      <c r="C23" s="171">
        <v>4.4550000000000001</v>
      </c>
      <c r="D23" s="171">
        <f>'[7]HABITACIONES DIAS '!L28/1000</f>
        <v>4.4550000000000001</v>
      </c>
      <c r="E23" s="171">
        <f>'[7]HABITACIONES DIAS '!M28/1000</f>
        <v>4.4550000000000001</v>
      </c>
      <c r="F23" s="164">
        <f t="shared" si="4"/>
        <v>1</v>
      </c>
      <c r="G23" s="171">
        <v>4.4550000000000001</v>
      </c>
      <c r="H23" s="171">
        <v>4.4550000000000001</v>
      </c>
      <c r="I23" s="164">
        <f t="shared" si="5"/>
        <v>1</v>
      </c>
      <c r="J23" s="172">
        <v>4.4550000000000001</v>
      </c>
      <c r="K23" s="173">
        <f t="shared" si="1"/>
        <v>1</v>
      </c>
      <c r="L23" s="160">
        <f t="shared" si="9"/>
        <v>1</v>
      </c>
      <c r="M23" s="173">
        <f t="shared" si="3"/>
        <v>1</v>
      </c>
      <c r="O23" s="174"/>
    </row>
    <row r="24" spans="1:15" ht="15.75" customHeight="1" thickBot="1" x14ac:dyDescent="0.9">
      <c r="A24" s="156" t="s">
        <v>230</v>
      </c>
      <c r="B24" s="157" t="s">
        <v>210</v>
      </c>
      <c r="C24" s="171">
        <v>2.5409999999999999</v>
      </c>
      <c r="D24" s="171">
        <f>'[7]HABITACIONES DIAS '!O28/1000</f>
        <v>2.5920000000000001</v>
      </c>
      <c r="E24" s="171">
        <f>'[7]HABITACIONES DIAS '!P28/1000</f>
        <v>2.4666999999999999</v>
      </c>
      <c r="F24" s="164">
        <f t="shared" si="4"/>
        <v>0.95165895061728389</v>
      </c>
      <c r="G24" s="179">
        <v>2.62</v>
      </c>
      <c r="H24" s="180">
        <v>2.62</v>
      </c>
      <c r="I24" s="164">
        <f t="shared" si="5"/>
        <v>1</v>
      </c>
      <c r="J24" s="180">
        <v>2.65</v>
      </c>
      <c r="K24" s="173">
        <f t="shared" si="1"/>
        <v>1.031090121999213</v>
      </c>
      <c r="L24" s="160">
        <f t="shared" si="9"/>
        <v>1.0428964974419519</v>
      </c>
      <c r="M24" s="173">
        <f t="shared" si="3"/>
        <v>1.0114503816793892</v>
      </c>
    </row>
    <row r="25" spans="1:15" ht="15.75" customHeight="1" thickBot="1" x14ac:dyDescent="0.9">
      <c r="A25" s="156" t="s">
        <v>231</v>
      </c>
      <c r="B25" s="157" t="s">
        <v>210</v>
      </c>
      <c r="C25" s="171">
        <f>C23-C24</f>
        <v>1.9140000000000001</v>
      </c>
      <c r="D25" s="171">
        <f t="shared" ref="D25:E25" si="14">D23-D24</f>
        <v>1.863</v>
      </c>
      <c r="E25" s="171">
        <f t="shared" si="14"/>
        <v>1.9883000000000002</v>
      </c>
      <c r="F25" s="164">
        <f t="shared" si="4"/>
        <v>1.0672571121846486</v>
      </c>
      <c r="G25" s="179">
        <f t="shared" ref="G25:J25" si="15">G23-G24</f>
        <v>1.835</v>
      </c>
      <c r="H25" s="181">
        <f t="shared" si="15"/>
        <v>1.835</v>
      </c>
      <c r="I25" s="164">
        <f t="shared" si="5"/>
        <v>1</v>
      </c>
      <c r="J25" s="181">
        <f t="shared" si="15"/>
        <v>1.8050000000000002</v>
      </c>
      <c r="K25" s="173">
        <f t="shared" si="1"/>
        <v>0.95872518286311381</v>
      </c>
      <c r="L25" s="160">
        <f t="shared" si="9"/>
        <v>0.94305120167189138</v>
      </c>
      <c r="M25" s="173">
        <f t="shared" si="3"/>
        <v>0.98365122615803824</v>
      </c>
    </row>
    <row r="26" spans="1:15" ht="23.25" customHeight="1" thickBot="1" x14ac:dyDescent="0.9">
      <c r="A26" s="150" t="s">
        <v>232</v>
      </c>
      <c r="B26" s="151"/>
      <c r="C26" s="182"/>
      <c r="D26" s="182"/>
      <c r="E26" s="182"/>
      <c r="F26" s="182"/>
      <c r="G26" s="182"/>
      <c r="H26" s="182"/>
      <c r="I26" s="182"/>
      <c r="J26" s="183"/>
      <c r="K26" s="154"/>
      <c r="L26" s="155"/>
      <c r="M26" s="154"/>
    </row>
    <row r="27" spans="1:15" ht="15.75" customHeight="1" thickBot="1" x14ac:dyDescent="0.9">
      <c r="A27" s="184" t="s">
        <v>211</v>
      </c>
      <c r="B27" s="185" t="s">
        <v>210</v>
      </c>
      <c r="C27" s="186">
        <v>3.0430000000000001</v>
      </c>
      <c r="D27" s="186">
        <f>'[7]Modelo 1'!J70/1000</f>
        <v>2.6920000000000002</v>
      </c>
      <c r="E27" s="186">
        <f>'[7]Modelo 1'!K70/1000</f>
        <v>1.097</v>
      </c>
      <c r="F27" s="164">
        <f t="shared" si="4"/>
        <v>0.40750371471025254</v>
      </c>
      <c r="G27" s="186">
        <v>6</v>
      </c>
      <c r="H27" s="187">
        <v>5.4</v>
      </c>
      <c r="I27" s="164">
        <f t="shared" si="5"/>
        <v>0.9</v>
      </c>
      <c r="J27" s="188">
        <v>5.9</v>
      </c>
      <c r="K27" s="189">
        <f t="shared" ref="K27:K36" si="16">H27/C27</f>
        <v>1.7745645744331253</v>
      </c>
      <c r="L27" s="160">
        <f t="shared" ref="L27:L36" si="17">J27/C27</f>
        <v>1.938876109102859</v>
      </c>
      <c r="M27" s="189">
        <f t="shared" si="3"/>
        <v>1.0925925925925926</v>
      </c>
    </row>
    <row r="28" spans="1:15" ht="15.75" customHeight="1" thickBot="1" x14ac:dyDescent="0.9">
      <c r="A28" s="184" t="s">
        <v>212</v>
      </c>
      <c r="B28" s="185" t="s">
        <v>213</v>
      </c>
      <c r="C28" s="190">
        <f t="shared" ref="C28:E28" si="18">C29/C27</f>
        <v>2.908642786723628</v>
      </c>
      <c r="D28" s="190">
        <f t="shared" si="18"/>
        <v>2.1846210995542346</v>
      </c>
      <c r="E28" s="190">
        <f t="shared" si="18"/>
        <v>2.6645396536007295</v>
      </c>
      <c r="F28" s="164">
        <f t="shared" si="4"/>
        <v>1.2196804535781609</v>
      </c>
      <c r="G28" s="190">
        <f t="shared" ref="G28:J28" si="19">G29/G27</f>
        <v>2.1816666666666666</v>
      </c>
      <c r="H28" s="190">
        <f t="shared" si="19"/>
        <v>1.1950000000000001</v>
      </c>
      <c r="I28" s="164">
        <f t="shared" si="5"/>
        <v>0.54774637127578307</v>
      </c>
      <c r="J28" s="186">
        <f t="shared" si="19"/>
        <v>1.159322033898305</v>
      </c>
      <c r="K28" s="189">
        <f t="shared" si="16"/>
        <v>0.41084453734041354</v>
      </c>
      <c r="L28" s="160">
        <f t="shared" si="17"/>
        <v>0.39857834698367894</v>
      </c>
      <c r="M28" s="189">
        <f t="shared" si="3"/>
        <v>0.97014396142117565</v>
      </c>
    </row>
    <row r="29" spans="1:15" ht="15.75" customHeight="1" thickBot="1" x14ac:dyDescent="0.9">
      <c r="A29" s="184" t="s">
        <v>233</v>
      </c>
      <c r="B29" s="185" t="s">
        <v>210</v>
      </c>
      <c r="C29" s="186">
        <v>8.8510000000000009</v>
      </c>
      <c r="D29" s="186">
        <f>'[7]Modelo 1'!J62/1000</f>
        <v>5.8810000000000002</v>
      </c>
      <c r="E29" s="186">
        <f>'[7]Modelo 1'!K62/1000</f>
        <v>2.923</v>
      </c>
      <c r="F29" s="164">
        <f t="shared" si="4"/>
        <v>0.49702431559258631</v>
      </c>
      <c r="G29" s="186">
        <v>13.09</v>
      </c>
      <c r="H29" s="187">
        <v>6.4530000000000003</v>
      </c>
      <c r="I29" s="164">
        <f t="shared" si="5"/>
        <v>0.49297173414820478</v>
      </c>
      <c r="J29" s="188">
        <v>6.84</v>
      </c>
      <c r="K29" s="189">
        <f t="shared" si="16"/>
        <v>0.72907016156366511</v>
      </c>
      <c r="L29" s="160">
        <f t="shared" si="17"/>
        <v>0.77279403457236462</v>
      </c>
      <c r="M29" s="189">
        <f t="shared" si="3"/>
        <v>1.0599721059972105</v>
      </c>
    </row>
    <row r="30" spans="1:15" ht="15.75" customHeight="1" thickBot="1" x14ac:dyDescent="0.9">
      <c r="A30" s="156" t="s">
        <v>234</v>
      </c>
      <c r="B30" s="157" t="s">
        <v>210</v>
      </c>
      <c r="C30" s="186">
        <v>1733.0419999999999</v>
      </c>
      <c r="D30" s="186">
        <f>'[7]Modelo 1'!J63/1000</f>
        <v>815.09199999999998</v>
      </c>
      <c r="E30" s="186">
        <f>'[7]Modelo 1'!K63/1000</f>
        <v>698.54499999999996</v>
      </c>
      <c r="F30" s="164">
        <f t="shared" si="4"/>
        <v>0.85701368679854539</v>
      </c>
      <c r="G30" s="191">
        <v>1982.6</v>
      </c>
      <c r="H30" s="181">
        <v>1982.6</v>
      </c>
      <c r="I30" s="164">
        <f t="shared" si="5"/>
        <v>1</v>
      </c>
      <c r="J30" s="192">
        <v>2000</v>
      </c>
      <c r="K30" s="189">
        <f t="shared" si="16"/>
        <v>1.1439999723030372</v>
      </c>
      <c r="L30" s="160">
        <f t="shared" si="17"/>
        <v>1.1540401213588591</v>
      </c>
      <c r="M30" s="189">
        <f t="shared" si="3"/>
        <v>1.0087763542822556</v>
      </c>
    </row>
    <row r="31" spans="1:15" ht="15.75" customHeight="1" thickBot="1" x14ac:dyDescent="0.9">
      <c r="A31" s="175" t="s">
        <v>235</v>
      </c>
      <c r="B31" s="176" t="s">
        <v>210</v>
      </c>
      <c r="C31" s="177">
        <f>C29+C30</f>
        <v>1741.893</v>
      </c>
      <c r="D31" s="177">
        <f t="shared" ref="D31:E31" si="20">D29+D30</f>
        <v>820.97299999999996</v>
      </c>
      <c r="E31" s="177">
        <f t="shared" si="20"/>
        <v>701.46799999999996</v>
      </c>
      <c r="F31" s="164">
        <f t="shared" si="4"/>
        <v>0.85443492051504744</v>
      </c>
      <c r="G31" s="193">
        <f t="shared" ref="G31:J31" si="21">G29+G30</f>
        <v>1995.6899999999998</v>
      </c>
      <c r="H31" s="193">
        <f t="shared" si="21"/>
        <v>1989.0529999999999</v>
      </c>
      <c r="I31" s="164">
        <f t="shared" si="5"/>
        <v>0.99667433318802023</v>
      </c>
      <c r="J31" s="193">
        <f t="shared" si="21"/>
        <v>2006.84</v>
      </c>
      <c r="K31" s="178">
        <f t="shared" si="16"/>
        <v>1.1418916087268276</v>
      </c>
      <c r="L31" s="160">
        <f t="shared" si="17"/>
        <v>1.1521029133247565</v>
      </c>
      <c r="M31" s="178">
        <f t="shared" si="3"/>
        <v>1.0089424464808128</v>
      </c>
    </row>
    <row r="32" spans="1:15" ht="15.75" customHeight="1" thickBot="1" x14ac:dyDescent="0.9">
      <c r="A32" s="156" t="s">
        <v>217</v>
      </c>
      <c r="B32" s="157" t="s">
        <v>218</v>
      </c>
      <c r="C32" s="194">
        <v>1735.0740000000001</v>
      </c>
      <c r="D32" s="194">
        <f>'[7]Modelo 1'!J10/1000</f>
        <v>774.01167238979463</v>
      </c>
      <c r="E32" s="194">
        <f>'[7]Modelo 1'!K10/1000</f>
        <v>952.63389000000018</v>
      </c>
      <c r="F32" s="164">
        <f t="shared" si="4"/>
        <v>1.230774578707194</v>
      </c>
      <c r="G32" s="195">
        <v>1796.9</v>
      </c>
      <c r="H32" s="195">
        <v>1800</v>
      </c>
      <c r="I32" s="164">
        <f t="shared" si="5"/>
        <v>1.0017251933886138</v>
      </c>
      <c r="J32" s="179">
        <v>1826.5</v>
      </c>
      <c r="K32" s="173">
        <f t="shared" si="16"/>
        <v>1.0374197296484184</v>
      </c>
      <c r="L32" s="160">
        <f t="shared" si="17"/>
        <v>1.05269285344602</v>
      </c>
      <c r="M32" s="173">
        <f t="shared" si="3"/>
        <v>1.0147222222222223</v>
      </c>
    </row>
    <row r="33" spans="1:13" ht="15.75" customHeight="1" thickBot="1" x14ac:dyDescent="0.9">
      <c r="A33" s="156" t="s">
        <v>236</v>
      </c>
      <c r="B33" s="157" t="s">
        <v>218</v>
      </c>
      <c r="C33" s="196">
        <v>89.447000000000003</v>
      </c>
      <c r="D33" s="197">
        <f>'[7]Modelo 1'!J12/1000</f>
        <v>79.47288255340213</v>
      </c>
      <c r="E33" s="197">
        <f>'[7]Modelo 1'!K12/1000</f>
        <v>39.288110000000003</v>
      </c>
      <c r="F33" s="164">
        <f t="shared" si="4"/>
        <v>0.49435868862061466</v>
      </c>
      <c r="G33" s="197">
        <v>211.70284000000001</v>
      </c>
      <c r="H33" s="197">
        <v>156.30000000000001</v>
      </c>
      <c r="I33" s="164">
        <f t="shared" si="5"/>
        <v>0.73829902329132668</v>
      </c>
      <c r="J33" s="197">
        <f>H33*101%</f>
        <v>157.863</v>
      </c>
      <c r="K33" s="173">
        <f t="shared" si="16"/>
        <v>1.7474034903350588</v>
      </c>
      <c r="L33" s="160">
        <f t="shared" si="17"/>
        <v>1.7648775252384092</v>
      </c>
      <c r="M33" s="173">
        <f t="shared" si="3"/>
        <v>1.01</v>
      </c>
    </row>
    <row r="34" spans="1:13" ht="15.75" customHeight="1" thickBot="1" x14ac:dyDescent="0.9">
      <c r="A34" s="198" t="s">
        <v>237</v>
      </c>
      <c r="B34" s="199" t="s">
        <v>221</v>
      </c>
      <c r="C34" s="171">
        <v>0.3997</v>
      </c>
      <c r="D34" s="186">
        <f>'[7]Modelo 1'!J26/120/1000</f>
        <v>0.28530412374676428</v>
      </c>
      <c r="E34" s="186">
        <f>'[7]Modelo 1'!K26/120/1000</f>
        <v>0.19992041666666668</v>
      </c>
      <c r="F34" s="164">
        <f t="shared" si="4"/>
        <v>0.70072739938423001</v>
      </c>
      <c r="G34" s="186">
        <f>G79</f>
        <v>0.73</v>
      </c>
      <c r="H34" s="186">
        <v>0.48399999999999999</v>
      </c>
      <c r="I34" s="164">
        <f t="shared" si="5"/>
        <v>0.66301369863013704</v>
      </c>
      <c r="J34" s="186">
        <v>0.53300000000000003</v>
      </c>
      <c r="K34" s="200">
        <f t="shared" si="16"/>
        <v>1.2109081811358517</v>
      </c>
      <c r="L34" s="160">
        <f t="shared" si="17"/>
        <v>1.3335001250938205</v>
      </c>
      <c r="M34" s="200">
        <f t="shared" si="3"/>
        <v>1.1012396694214877</v>
      </c>
    </row>
    <row r="35" spans="1:13" ht="15.75" customHeight="1" thickBot="1" x14ac:dyDescent="0.9">
      <c r="A35" s="175" t="s">
        <v>222</v>
      </c>
      <c r="B35" s="176" t="s">
        <v>223</v>
      </c>
      <c r="C35" s="177">
        <f t="shared" ref="C35:J35" si="22">C32*1000/C31</f>
        <v>996.08529341354495</v>
      </c>
      <c r="D35" s="177">
        <f t="shared" si="22"/>
        <v>942.79796337978792</v>
      </c>
      <c r="E35" s="177">
        <f t="shared" si="22"/>
        <v>1358.0575165224932</v>
      </c>
      <c r="F35" s="164">
        <f t="shared" si="4"/>
        <v>1.4404544444008582</v>
      </c>
      <c r="G35" s="195">
        <f t="shared" si="22"/>
        <v>900.39034118525433</v>
      </c>
      <c r="H35" s="195">
        <f t="shared" si="22"/>
        <v>904.95326167779342</v>
      </c>
      <c r="I35" s="164">
        <f t="shared" si="5"/>
        <v>1.0050677137279511</v>
      </c>
      <c r="J35" s="195">
        <f t="shared" si="22"/>
        <v>910.13733033027052</v>
      </c>
      <c r="K35" s="178">
        <f t="shared" si="16"/>
        <v>0.90850981101884798</v>
      </c>
      <c r="L35" s="160">
        <f t="shared" si="17"/>
        <v>0.91371425353672864</v>
      </c>
      <c r="M35" s="178">
        <f t="shared" si="3"/>
        <v>1.0057285485030085</v>
      </c>
    </row>
    <row r="36" spans="1:13" ht="15.75" customHeight="1" thickBot="1" x14ac:dyDescent="0.9">
      <c r="A36" s="175" t="s">
        <v>224</v>
      </c>
      <c r="B36" s="201" t="s">
        <v>225</v>
      </c>
      <c r="C36" s="177">
        <f t="shared" ref="C36:J36" si="23">C34*1000/C29</f>
        <v>45.158739125522537</v>
      </c>
      <c r="D36" s="177">
        <f t="shared" si="23"/>
        <v>48.512858994518666</v>
      </c>
      <c r="E36" s="177">
        <f t="shared" si="23"/>
        <v>68.395626639297532</v>
      </c>
      <c r="F36" s="164">
        <f t="shared" si="4"/>
        <v>1.4098453081692293</v>
      </c>
      <c r="G36" s="194">
        <f t="shared" si="23"/>
        <v>55.767761650114593</v>
      </c>
      <c r="H36" s="194">
        <f t="shared" si="23"/>
        <v>75.003874167054079</v>
      </c>
      <c r="I36" s="164">
        <f t="shared" si="5"/>
        <v>1.3449324833516958</v>
      </c>
      <c r="J36" s="194">
        <f t="shared" si="23"/>
        <v>77.923976608187132</v>
      </c>
      <c r="K36" s="178">
        <f t="shared" si="16"/>
        <v>1.6608938960535293</v>
      </c>
      <c r="L36" s="160">
        <f t="shared" si="17"/>
        <v>1.7255569601177492</v>
      </c>
      <c r="M36" s="178">
        <f t="shared" si="3"/>
        <v>1.0389326881252718</v>
      </c>
    </row>
    <row r="37" spans="1:13" ht="23.25" hidden="1" customHeight="1" thickBot="1" x14ac:dyDescent="0.9">
      <c r="A37" s="150" t="s">
        <v>238</v>
      </c>
      <c r="B37" s="151"/>
      <c r="C37" s="182"/>
      <c r="D37" s="182"/>
      <c r="E37" s="182"/>
      <c r="F37" s="164" t="e">
        <f t="shared" si="4"/>
        <v>#DIV/0!</v>
      </c>
      <c r="G37" s="182"/>
      <c r="H37" s="182"/>
      <c r="I37" s="164" t="e">
        <f t="shared" si="5"/>
        <v>#DIV/0!</v>
      </c>
      <c r="J37" s="183"/>
      <c r="K37" s="154"/>
      <c r="L37" s="155"/>
      <c r="M37" s="154"/>
    </row>
    <row r="38" spans="1:13" ht="15.75" hidden="1" customHeight="1" thickBot="1" x14ac:dyDescent="0.9">
      <c r="A38" s="184" t="s">
        <v>211</v>
      </c>
      <c r="B38" s="185" t="s">
        <v>210</v>
      </c>
      <c r="C38" s="190"/>
      <c r="D38" s="190"/>
      <c r="E38" s="190"/>
      <c r="F38" s="164" t="e">
        <f t="shared" si="4"/>
        <v>#DIV/0!</v>
      </c>
      <c r="G38" s="190"/>
      <c r="H38" s="190"/>
      <c r="I38" s="164" t="e">
        <f t="shared" si="5"/>
        <v>#DIV/0!</v>
      </c>
      <c r="J38" s="202"/>
      <c r="K38" s="159" t="e">
        <f t="shared" ref="K38:K47" si="24">H38/C38</f>
        <v>#DIV/0!</v>
      </c>
      <c r="L38" s="203" t="e">
        <f t="shared" ref="L38:L47" si="25">H38/A38*100</f>
        <v>#VALUE!</v>
      </c>
      <c r="M38" s="159" t="e">
        <f t="shared" si="3"/>
        <v>#DIV/0!</v>
      </c>
    </row>
    <row r="39" spans="1:13" ht="15.75" hidden="1" customHeight="1" thickBot="1" x14ac:dyDescent="0.9">
      <c r="A39" s="184" t="s">
        <v>212</v>
      </c>
      <c r="B39" s="185" t="s">
        <v>213</v>
      </c>
      <c r="C39" s="190"/>
      <c r="D39" s="190"/>
      <c r="E39" s="190"/>
      <c r="F39" s="164" t="e">
        <f t="shared" si="4"/>
        <v>#DIV/0!</v>
      </c>
      <c r="G39" s="190"/>
      <c r="H39" s="190"/>
      <c r="I39" s="164" t="e">
        <f t="shared" si="5"/>
        <v>#DIV/0!</v>
      </c>
      <c r="J39" s="202"/>
      <c r="K39" s="159" t="e">
        <f t="shared" si="24"/>
        <v>#DIV/0!</v>
      </c>
      <c r="L39" s="203" t="e">
        <f t="shared" si="25"/>
        <v>#VALUE!</v>
      </c>
      <c r="M39" s="159" t="e">
        <f t="shared" si="3"/>
        <v>#DIV/0!</v>
      </c>
    </row>
    <row r="40" spans="1:13" ht="15.75" hidden="1" customHeight="1" thickBot="1" x14ac:dyDescent="0.9">
      <c r="A40" s="184" t="s">
        <v>214</v>
      </c>
      <c r="B40" s="185" t="s">
        <v>210</v>
      </c>
      <c r="C40" s="190"/>
      <c r="D40" s="190"/>
      <c r="E40" s="190"/>
      <c r="F40" s="164" t="e">
        <f t="shared" si="4"/>
        <v>#DIV/0!</v>
      </c>
      <c r="G40" s="190"/>
      <c r="H40" s="190"/>
      <c r="I40" s="164" t="e">
        <f t="shared" si="5"/>
        <v>#DIV/0!</v>
      </c>
      <c r="J40" s="202"/>
      <c r="K40" s="159" t="e">
        <f t="shared" si="24"/>
        <v>#DIV/0!</v>
      </c>
      <c r="L40" s="203" t="e">
        <f t="shared" si="25"/>
        <v>#VALUE!</v>
      </c>
      <c r="M40" s="159" t="e">
        <f t="shared" si="3"/>
        <v>#DIV/0!</v>
      </c>
    </row>
    <row r="41" spans="1:13" ht="15.75" hidden="1" customHeight="1" thickBot="1" x14ac:dyDescent="0.9">
      <c r="A41" s="156" t="s">
        <v>234</v>
      </c>
      <c r="B41" s="157" t="s">
        <v>210</v>
      </c>
      <c r="C41" s="190"/>
      <c r="D41" s="190"/>
      <c r="E41" s="190"/>
      <c r="F41" s="164" t="e">
        <f t="shared" si="4"/>
        <v>#DIV/0!</v>
      </c>
      <c r="G41" s="190"/>
      <c r="H41" s="190"/>
      <c r="I41" s="164" t="e">
        <f t="shared" si="5"/>
        <v>#DIV/0!</v>
      </c>
      <c r="J41" s="202"/>
      <c r="K41" s="159" t="e">
        <f t="shared" si="24"/>
        <v>#DIV/0!</v>
      </c>
      <c r="L41" s="203" t="e">
        <f t="shared" si="25"/>
        <v>#VALUE!</v>
      </c>
      <c r="M41" s="159" t="e">
        <f t="shared" si="3"/>
        <v>#DIV/0!</v>
      </c>
    </row>
    <row r="42" spans="1:13" ht="15.75" hidden="1" customHeight="1" thickBot="1" x14ac:dyDescent="0.9">
      <c r="A42" s="175" t="s">
        <v>235</v>
      </c>
      <c r="B42" s="176" t="s">
        <v>210</v>
      </c>
      <c r="C42" s="177">
        <f t="shared" ref="C42:J42" si="26">C40+C41</f>
        <v>0</v>
      </c>
      <c r="D42" s="193"/>
      <c r="E42" s="193"/>
      <c r="F42" s="164" t="e">
        <f t="shared" si="4"/>
        <v>#DIV/0!</v>
      </c>
      <c r="G42" s="193">
        <f t="shared" si="26"/>
        <v>0</v>
      </c>
      <c r="H42" s="193">
        <f t="shared" si="26"/>
        <v>0</v>
      </c>
      <c r="I42" s="164" t="e">
        <f t="shared" si="5"/>
        <v>#DIV/0!</v>
      </c>
      <c r="J42" s="193">
        <f t="shared" si="26"/>
        <v>0</v>
      </c>
      <c r="K42" s="204" t="e">
        <f t="shared" si="24"/>
        <v>#DIV/0!</v>
      </c>
      <c r="L42" s="205" t="e">
        <f t="shared" si="25"/>
        <v>#VALUE!</v>
      </c>
      <c r="M42" s="204" t="e">
        <f t="shared" si="3"/>
        <v>#DIV/0!</v>
      </c>
    </row>
    <row r="43" spans="1:13" ht="15.75" hidden="1" customHeight="1" thickBot="1" x14ac:dyDescent="0.9">
      <c r="A43" s="156" t="s">
        <v>239</v>
      </c>
      <c r="B43" s="157" t="s">
        <v>218</v>
      </c>
      <c r="C43" s="194"/>
      <c r="D43" s="194"/>
      <c r="E43" s="194"/>
      <c r="F43" s="164" t="e">
        <f t="shared" si="4"/>
        <v>#DIV/0!</v>
      </c>
      <c r="G43" s="194"/>
      <c r="H43" s="194"/>
      <c r="I43" s="164" t="e">
        <f t="shared" si="5"/>
        <v>#DIV/0!</v>
      </c>
      <c r="J43" s="194"/>
      <c r="K43" s="206" t="e">
        <f t="shared" si="24"/>
        <v>#DIV/0!</v>
      </c>
      <c r="L43" s="203" t="e">
        <f t="shared" si="25"/>
        <v>#VALUE!</v>
      </c>
      <c r="M43" s="206" t="e">
        <f t="shared" si="3"/>
        <v>#DIV/0!</v>
      </c>
    </row>
    <row r="44" spans="1:13" ht="15.75" hidden="1" customHeight="1" thickBot="1" x14ac:dyDescent="0.9">
      <c r="A44" s="156" t="s">
        <v>236</v>
      </c>
      <c r="B44" s="157" t="s">
        <v>218</v>
      </c>
      <c r="C44" s="194"/>
      <c r="D44" s="190"/>
      <c r="E44" s="190"/>
      <c r="F44" s="164" t="e">
        <f t="shared" si="4"/>
        <v>#DIV/0!</v>
      </c>
      <c r="G44" s="190"/>
      <c r="H44" s="190"/>
      <c r="I44" s="164" t="e">
        <f t="shared" si="5"/>
        <v>#DIV/0!</v>
      </c>
      <c r="J44" s="190"/>
      <c r="K44" s="206" t="e">
        <f t="shared" si="24"/>
        <v>#DIV/0!</v>
      </c>
      <c r="L44" s="203" t="e">
        <f t="shared" si="25"/>
        <v>#VALUE!</v>
      </c>
      <c r="M44" s="206" t="e">
        <f t="shared" si="3"/>
        <v>#DIV/0!</v>
      </c>
    </row>
    <row r="45" spans="1:13" ht="15.75" hidden="1" customHeight="1" thickBot="1" x14ac:dyDescent="0.9">
      <c r="A45" s="198" t="s">
        <v>240</v>
      </c>
      <c r="B45" s="199" t="s">
        <v>221</v>
      </c>
      <c r="C45" s="194"/>
      <c r="D45" s="190"/>
      <c r="E45" s="190"/>
      <c r="F45" s="164" t="e">
        <f t="shared" si="4"/>
        <v>#DIV/0!</v>
      </c>
      <c r="G45" s="190"/>
      <c r="H45" s="190"/>
      <c r="I45" s="164" t="e">
        <f t="shared" si="5"/>
        <v>#DIV/0!</v>
      </c>
      <c r="J45" s="190"/>
      <c r="K45" s="158" t="e">
        <f t="shared" si="24"/>
        <v>#DIV/0!</v>
      </c>
      <c r="L45" s="203" t="e">
        <f t="shared" si="25"/>
        <v>#VALUE!</v>
      </c>
      <c r="M45" s="158" t="e">
        <f t="shared" si="3"/>
        <v>#DIV/0!</v>
      </c>
    </row>
    <row r="46" spans="1:13" ht="15.75" hidden="1" customHeight="1" thickBot="1" x14ac:dyDescent="0.9">
      <c r="A46" s="175" t="s">
        <v>222</v>
      </c>
      <c r="B46" s="176" t="s">
        <v>223</v>
      </c>
      <c r="C46" s="177" t="e">
        <f t="shared" ref="C46:J46" si="27">C43*1000/C42</f>
        <v>#DIV/0!</v>
      </c>
      <c r="D46" s="177"/>
      <c r="E46" s="177"/>
      <c r="F46" s="164" t="e">
        <f t="shared" si="4"/>
        <v>#DIV/0!</v>
      </c>
      <c r="G46" s="177" t="e">
        <f t="shared" si="27"/>
        <v>#DIV/0!</v>
      </c>
      <c r="H46" s="177" t="e">
        <f t="shared" si="27"/>
        <v>#DIV/0!</v>
      </c>
      <c r="I46" s="164" t="e">
        <f t="shared" si="5"/>
        <v>#DIV/0!</v>
      </c>
      <c r="J46" s="177" t="e">
        <f t="shared" si="27"/>
        <v>#DIV/0!</v>
      </c>
      <c r="K46" s="205" t="e">
        <f t="shared" si="24"/>
        <v>#DIV/0!</v>
      </c>
      <c r="L46" s="207" t="e">
        <f t="shared" si="25"/>
        <v>#DIV/0!</v>
      </c>
      <c r="M46" s="205" t="e">
        <f t="shared" si="3"/>
        <v>#DIV/0!</v>
      </c>
    </row>
    <row r="47" spans="1:13" ht="15.75" hidden="1" customHeight="1" thickBot="1" x14ac:dyDescent="0.9">
      <c r="A47" s="175" t="s">
        <v>224</v>
      </c>
      <c r="B47" s="201" t="s">
        <v>225</v>
      </c>
      <c r="C47" s="177" t="e">
        <f t="shared" ref="C47:J47" si="28">C45*1000/C40</f>
        <v>#DIV/0!</v>
      </c>
      <c r="D47" s="177"/>
      <c r="E47" s="177"/>
      <c r="F47" s="164" t="e">
        <f t="shared" si="4"/>
        <v>#DIV/0!</v>
      </c>
      <c r="G47" s="177" t="e">
        <f t="shared" si="28"/>
        <v>#DIV/0!</v>
      </c>
      <c r="H47" s="177" t="e">
        <f t="shared" si="28"/>
        <v>#DIV/0!</v>
      </c>
      <c r="I47" s="164" t="e">
        <f t="shared" si="5"/>
        <v>#DIV/0!</v>
      </c>
      <c r="J47" s="177" t="e">
        <f t="shared" si="28"/>
        <v>#DIV/0!</v>
      </c>
      <c r="K47" s="205" t="e">
        <f t="shared" si="24"/>
        <v>#DIV/0!</v>
      </c>
      <c r="L47" s="207" t="e">
        <f t="shared" si="25"/>
        <v>#DIV/0!</v>
      </c>
      <c r="M47" s="205" t="e">
        <f t="shared" si="3"/>
        <v>#DIV/0!</v>
      </c>
    </row>
    <row r="48" spans="1:13" ht="16.25" thickBot="1" x14ac:dyDescent="0.9">
      <c r="A48" s="150" t="s">
        <v>241</v>
      </c>
      <c r="B48" s="208"/>
      <c r="C48" s="209"/>
      <c r="D48" s="209"/>
      <c r="E48" s="209"/>
      <c r="F48" s="209"/>
      <c r="G48" s="209"/>
      <c r="H48" s="209"/>
      <c r="I48" s="209"/>
      <c r="J48" s="209"/>
      <c r="K48" s="210"/>
      <c r="L48" s="155"/>
      <c r="M48" s="210"/>
    </row>
    <row r="49" spans="1:16" ht="16.25" thickBot="1" x14ac:dyDescent="0.9">
      <c r="A49" s="150" t="s">
        <v>242</v>
      </c>
      <c r="B49" s="208"/>
      <c r="C49" s="209"/>
      <c r="D49" s="209"/>
      <c r="E49" s="209"/>
      <c r="F49" s="209"/>
      <c r="G49" s="209"/>
      <c r="H49" s="209"/>
      <c r="I49" s="209"/>
      <c r="J49" s="209"/>
      <c r="K49" s="210"/>
      <c r="L49" s="155"/>
      <c r="M49" s="210"/>
    </row>
    <row r="50" spans="1:16" ht="18.75" thickBot="1" x14ac:dyDescent="0.9">
      <c r="A50" s="156" t="s">
        <v>76</v>
      </c>
      <c r="B50" s="157" t="s">
        <v>100</v>
      </c>
      <c r="C50" s="196">
        <v>1801610.4</v>
      </c>
      <c r="D50" s="196">
        <f>'[7]Modelo 1'!J9</f>
        <v>794548.8352973134</v>
      </c>
      <c r="E50" s="196">
        <f>'[7]Modelo 1'!K9</f>
        <v>973208.8600000001</v>
      </c>
      <c r="F50" s="164">
        <f t="shared" si="4"/>
        <v>1.2248571979038061</v>
      </c>
      <c r="G50" s="211">
        <v>1844302.8855360809</v>
      </c>
      <c r="H50" s="196">
        <v>1850602.3</v>
      </c>
      <c r="I50" s="164">
        <f t="shared" si="5"/>
        <v>1.0034156073350653</v>
      </c>
      <c r="J50" s="196">
        <f>H50*103.5%</f>
        <v>1915373.3805</v>
      </c>
      <c r="K50" s="212">
        <f>H50/C50</f>
        <v>1.027193393199773</v>
      </c>
      <c r="L50" s="160">
        <f t="shared" ref="L50:L53" si="29">J50/C50</f>
        <v>1.0631451619617649</v>
      </c>
      <c r="M50" s="212">
        <f t="shared" si="3"/>
        <v>1.0349999999999999</v>
      </c>
      <c r="N50" s="213"/>
    </row>
    <row r="51" spans="1:16" ht="18.75" thickBot="1" x14ac:dyDescent="0.9">
      <c r="A51" s="156" t="s">
        <v>109</v>
      </c>
      <c r="B51" s="157" t="s">
        <v>100</v>
      </c>
      <c r="C51" s="196">
        <v>1669649.3</v>
      </c>
      <c r="D51" s="196">
        <f>'[7]Modelo 1'!J33</f>
        <v>747371.52012409212</v>
      </c>
      <c r="E51" s="196">
        <f>'[7]Modelo 1'!K33</f>
        <v>883088.24000000011</v>
      </c>
      <c r="F51" s="164">
        <f t="shared" si="4"/>
        <v>1.1815920412024448</v>
      </c>
      <c r="G51" s="211">
        <v>1688682.8414599088</v>
      </c>
      <c r="H51" s="196">
        <v>1713880.98703305</v>
      </c>
      <c r="I51" s="164">
        <f t="shared" si="5"/>
        <v>1.014921775098607</v>
      </c>
      <c r="J51" s="196">
        <f>H51*105.5%</f>
        <v>1808144.4413198677</v>
      </c>
      <c r="K51" s="212">
        <f>H51/C51</f>
        <v>1.0264916033762599</v>
      </c>
      <c r="L51" s="160">
        <f t="shared" si="29"/>
        <v>1.0829486415619543</v>
      </c>
      <c r="M51" s="212">
        <f t="shared" si="3"/>
        <v>1.0549999999999999</v>
      </c>
      <c r="N51" s="139">
        <f>H52*5%</f>
        <v>6836.0656483475004</v>
      </c>
      <c r="P51" s="139">
        <f t="shared" ref="P51" si="30">J52*5%</f>
        <v>5361.4469590066119</v>
      </c>
    </row>
    <row r="52" spans="1:16" ht="16" thickBot="1" x14ac:dyDescent="0.9">
      <c r="A52" s="156" t="s">
        <v>111</v>
      </c>
      <c r="B52" s="157" t="s">
        <v>100</v>
      </c>
      <c r="C52" s="194">
        <f>C50-C51</f>
        <v>131961.09999999986</v>
      </c>
      <c r="D52" s="194">
        <f t="shared" ref="D52:J52" si="31">D50-D51</f>
        <v>47177.315173221286</v>
      </c>
      <c r="E52" s="194">
        <f t="shared" si="31"/>
        <v>90120.62</v>
      </c>
      <c r="F52" s="164">
        <f t="shared" si="4"/>
        <v>1.9102532577172624</v>
      </c>
      <c r="G52" s="194">
        <f t="shared" si="31"/>
        <v>155620.04407617217</v>
      </c>
      <c r="H52" s="194">
        <f t="shared" si="31"/>
        <v>136721.31296695</v>
      </c>
      <c r="I52" s="164">
        <f t="shared" si="5"/>
        <v>0.87855850304237348</v>
      </c>
      <c r="J52" s="194">
        <f t="shared" si="31"/>
        <v>107228.93918013223</v>
      </c>
      <c r="K52" s="212">
        <f>H52/C52</f>
        <v>1.0360728500061771</v>
      </c>
      <c r="L52" s="160">
        <f t="shared" si="29"/>
        <v>0.81257991317238454</v>
      </c>
      <c r="M52" s="212">
        <f t="shared" si="3"/>
        <v>0.78428839551923379</v>
      </c>
      <c r="N52" s="214">
        <f>H52-N51</f>
        <v>129885.2473186025</v>
      </c>
      <c r="O52" s="214"/>
      <c r="P52" s="214">
        <f t="shared" ref="P52" si="32">J52-P51</f>
        <v>101867.49222112562</v>
      </c>
    </row>
    <row r="53" spans="1:16" ht="16" thickBot="1" x14ac:dyDescent="0.9">
      <c r="A53" s="156" t="s">
        <v>114</v>
      </c>
      <c r="B53" s="157" t="s">
        <v>115</v>
      </c>
      <c r="C53" s="215">
        <f t="shared" ref="C53:J53" si="33">C51/C50</f>
        <v>0.92675380870359103</v>
      </c>
      <c r="D53" s="215">
        <f t="shared" si="33"/>
        <v>0.94062376901532063</v>
      </c>
      <c r="E53" s="215">
        <f t="shared" si="33"/>
        <v>0.9073984797055793</v>
      </c>
      <c r="F53" s="164">
        <f t="shared" si="4"/>
        <v>0.96467738706568862</v>
      </c>
      <c r="G53" s="215">
        <f t="shared" si="33"/>
        <v>0.91562121097536631</v>
      </c>
      <c r="H53" s="215">
        <f t="shared" si="33"/>
        <v>0.92612064030886054</v>
      </c>
      <c r="I53" s="164">
        <f t="shared" si="5"/>
        <v>1.0114670009908462</v>
      </c>
      <c r="J53" s="215">
        <f t="shared" si="33"/>
        <v>0.94401669132932164</v>
      </c>
      <c r="K53" s="212">
        <f>H53/C53</f>
        <v>0.99931678900179954</v>
      </c>
      <c r="L53" s="160">
        <f t="shared" si="29"/>
        <v>1.0186272583544913</v>
      </c>
      <c r="M53" s="212">
        <f t="shared" si="3"/>
        <v>1.0193236714975846</v>
      </c>
      <c r="N53" s="139">
        <f>N52*35%</f>
        <v>45459.836561510871</v>
      </c>
      <c r="P53" s="139">
        <f t="shared" ref="P53" si="34">P52*35%</f>
        <v>35653.622277393966</v>
      </c>
    </row>
    <row r="54" spans="1:16" ht="16.75" hidden="1" thickBot="1" x14ac:dyDescent="0.9">
      <c r="A54" s="150" t="s">
        <v>243</v>
      </c>
      <c r="B54" s="216"/>
      <c r="C54" s="209"/>
      <c r="D54" s="209"/>
      <c r="E54" s="209"/>
      <c r="F54" s="164" t="e">
        <f t="shared" si="4"/>
        <v>#DIV/0!</v>
      </c>
      <c r="G54" s="209"/>
      <c r="H54" s="209"/>
      <c r="I54" s="164" t="e">
        <f t="shared" si="5"/>
        <v>#DIV/0!</v>
      </c>
      <c r="J54" s="209"/>
      <c r="K54" s="210"/>
      <c r="L54" s="155"/>
      <c r="M54" s="210"/>
    </row>
    <row r="55" spans="1:16" ht="16" hidden="1" thickBot="1" x14ac:dyDescent="0.9">
      <c r="A55" s="156" t="s">
        <v>76</v>
      </c>
      <c r="B55" s="157" t="s">
        <v>100</v>
      </c>
      <c r="C55" s="194"/>
      <c r="D55" s="194"/>
      <c r="E55" s="194"/>
      <c r="F55" s="164" t="e">
        <f t="shared" si="4"/>
        <v>#DIV/0!</v>
      </c>
      <c r="G55" s="194"/>
      <c r="H55" s="194"/>
      <c r="I55" s="164" t="e">
        <f t="shared" si="5"/>
        <v>#DIV/0!</v>
      </c>
      <c r="J55" s="194"/>
      <c r="K55" s="206" t="e">
        <f>H55/C55</f>
        <v>#DIV/0!</v>
      </c>
      <c r="L55" s="203" t="e">
        <f>H55/A55*100</f>
        <v>#VALUE!</v>
      </c>
      <c r="M55" s="206" t="e">
        <f t="shared" si="3"/>
        <v>#DIV/0!</v>
      </c>
    </row>
    <row r="56" spans="1:16" ht="16" hidden="1" thickBot="1" x14ac:dyDescent="0.9">
      <c r="A56" s="156" t="s">
        <v>109</v>
      </c>
      <c r="B56" s="157" t="s">
        <v>100</v>
      </c>
      <c r="C56" s="194"/>
      <c r="D56" s="194"/>
      <c r="E56" s="194"/>
      <c r="F56" s="164" t="e">
        <f t="shared" si="4"/>
        <v>#DIV/0!</v>
      </c>
      <c r="G56" s="194"/>
      <c r="H56" s="194"/>
      <c r="I56" s="164" t="e">
        <f t="shared" si="5"/>
        <v>#DIV/0!</v>
      </c>
      <c r="J56" s="194"/>
      <c r="K56" s="206" t="e">
        <f>H56/C56</f>
        <v>#DIV/0!</v>
      </c>
      <c r="L56" s="203" t="e">
        <f>H56/A56*100</f>
        <v>#VALUE!</v>
      </c>
      <c r="M56" s="206" t="e">
        <f t="shared" si="3"/>
        <v>#DIV/0!</v>
      </c>
    </row>
    <row r="57" spans="1:16" ht="16" hidden="1" thickBot="1" x14ac:dyDescent="0.9">
      <c r="A57" s="156" t="s">
        <v>111</v>
      </c>
      <c r="B57" s="157" t="s">
        <v>100</v>
      </c>
      <c r="C57" s="194">
        <f>C55-C56</f>
        <v>0</v>
      </c>
      <c r="D57" s="194"/>
      <c r="E57" s="194"/>
      <c r="F57" s="164" t="e">
        <f t="shared" si="4"/>
        <v>#DIV/0!</v>
      </c>
      <c r="G57" s="194">
        <f t="shared" ref="G57:J57" si="35">G55-G56</f>
        <v>0</v>
      </c>
      <c r="H57" s="194">
        <f t="shared" si="35"/>
        <v>0</v>
      </c>
      <c r="I57" s="164" t="e">
        <f t="shared" si="5"/>
        <v>#DIV/0!</v>
      </c>
      <c r="J57" s="194">
        <f t="shared" si="35"/>
        <v>0</v>
      </c>
      <c r="K57" s="206" t="e">
        <f>H57/C57</f>
        <v>#DIV/0!</v>
      </c>
      <c r="L57" s="203" t="e">
        <f>H57/A57*100</f>
        <v>#VALUE!</v>
      </c>
      <c r="M57" s="206" t="e">
        <f t="shared" si="3"/>
        <v>#DIV/0!</v>
      </c>
    </row>
    <row r="58" spans="1:16" ht="16" hidden="1" thickBot="1" x14ac:dyDescent="0.9">
      <c r="A58" s="156" t="s">
        <v>114</v>
      </c>
      <c r="B58" s="157" t="s">
        <v>131</v>
      </c>
      <c r="C58" s="196" t="e">
        <f t="shared" ref="C58:J58" si="36">C56/C55</f>
        <v>#DIV/0!</v>
      </c>
      <c r="D58" s="196"/>
      <c r="E58" s="196"/>
      <c r="F58" s="164" t="e">
        <f t="shared" si="4"/>
        <v>#DIV/0!</v>
      </c>
      <c r="G58" s="196" t="e">
        <f t="shared" si="36"/>
        <v>#DIV/0!</v>
      </c>
      <c r="H58" s="196" t="e">
        <f t="shared" si="36"/>
        <v>#DIV/0!</v>
      </c>
      <c r="I58" s="164" t="e">
        <f t="shared" si="5"/>
        <v>#DIV/0!</v>
      </c>
      <c r="J58" s="196" t="e">
        <f t="shared" si="36"/>
        <v>#DIV/0!</v>
      </c>
      <c r="K58" s="206" t="e">
        <f>H58/C58</f>
        <v>#DIV/0!</v>
      </c>
      <c r="L58" s="203" t="e">
        <f>H58/A58*100</f>
        <v>#DIV/0!</v>
      </c>
      <c r="M58" s="206" t="e">
        <f t="shared" si="3"/>
        <v>#DIV/0!</v>
      </c>
    </row>
    <row r="59" spans="1:16" ht="16.25" thickBot="1" x14ac:dyDescent="0.9">
      <c r="A59" s="150" t="s">
        <v>244</v>
      </c>
      <c r="B59" s="208"/>
      <c r="C59" s="209"/>
      <c r="D59" s="209"/>
      <c r="E59" s="209"/>
      <c r="F59" s="209"/>
      <c r="G59" s="209"/>
      <c r="H59" s="209"/>
      <c r="I59" s="209"/>
      <c r="J59" s="209"/>
      <c r="K59" s="210"/>
      <c r="L59" s="155"/>
      <c r="M59" s="210"/>
      <c r="N59" s="214">
        <f>N52-N53</f>
        <v>84425.410757091624</v>
      </c>
      <c r="O59" s="214"/>
      <c r="P59" s="214">
        <f t="shared" ref="P59" si="37">P52-P53</f>
        <v>66213.869943731654</v>
      </c>
    </row>
    <row r="60" spans="1:16" ht="16" thickBot="1" x14ac:dyDescent="0.9">
      <c r="A60" s="156" t="s">
        <v>245</v>
      </c>
      <c r="B60" s="157" t="s">
        <v>100</v>
      </c>
      <c r="C60" s="196">
        <v>161064.87</v>
      </c>
      <c r="D60" s="196">
        <f>[7]Modelo1B!J30</f>
        <v>115460.32788316048</v>
      </c>
      <c r="E60" s="196">
        <f>[7]Modelo1B!K30</f>
        <v>73600.150000000023</v>
      </c>
      <c r="F60" s="164">
        <f t="shared" si="4"/>
        <v>0.63744968812559877</v>
      </c>
      <c r="G60" s="217">
        <v>264538.43656129856</v>
      </c>
      <c r="H60" s="217">
        <f>G60*75%</f>
        <v>198403.82742097392</v>
      </c>
      <c r="I60" s="164">
        <f t="shared" si="5"/>
        <v>0.75</v>
      </c>
      <c r="J60" s="217">
        <f>H60*103%</f>
        <v>204355.94224360315</v>
      </c>
      <c r="K60" s="218">
        <f t="shared" ref="K60:K66" si="38">H60/C60</f>
        <v>1.2318255832011904</v>
      </c>
      <c r="L60" s="219">
        <f t="shared" ref="L60:L66" si="39">J60/C60</f>
        <v>1.2687803506972262</v>
      </c>
      <c r="M60" s="218">
        <f t="shared" si="3"/>
        <v>1.03</v>
      </c>
      <c r="N60" s="139">
        <f>N59*60%</f>
        <v>50655.246454254971</v>
      </c>
      <c r="P60" s="139">
        <f t="shared" ref="P60" si="40">P59*60%</f>
        <v>39728.321966238989</v>
      </c>
    </row>
    <row r="61" spans="1:16" ht="16" thickBot="1" x14ac:dyDescent="0.9">
      <c r="A61" s="156" t="s">
        <v>125</v>
      </c>
      <c r="B61" s="157" t="s">
        <v>126</v>
      </c>
      <c r="C61" s="220">
        <v>4289</v>
      </c>
      <c r="D61" s="220">
        <f>'[7]Modelo 1'!J56</f>
        <v>4950</v>
      </c>
      <c r="E61" s="220">
        <f>'[7]Modelo 1'!K56</f>
        <v>4276</v>
      </c>
      <c r="F61" s="164">
        <f t="shared" si="4"/>
        <v>0.86383838383838385</v>
      </c>
      <c r="G61" s="221">
        <v>5200</v>
      </c>
      <c r="H61" s="221">
        <v>4726</v>
      </c>
      <c r="I61" s="164">
        <f t="shared" si="5"/>
        <v>0.90884615384615386</v>
      </c>
      <c r="J61" s="221">
        <v>4900</v>
      </c>
      <c r="K61" s="212">
        <f t="shared" si="38"/>
        <v>1.101888552110049</v>
      </c>
      <c r="L61" s="160">
        <f t="shared" si="39"/>
        <v>1.1424574492888786</v>
      </c>
      <c r="M61" s="212">
        <f t="shared" si="3"/>
        <v>1.0368176047397377</v>
      </c>
    </row>
    <row r="62" spans="1:16" ht="16" thickBot="1" x14ac:dyDescent="0.9">
      <c r="A62" s="156" t="s">
        <v>130</v>
      </c>
      <c r="B62" s="157" t="s">
        <v>131</v>
      </c>
      <c r="C62" s="196">
        <f>C60*1000/C61/12</f>
        <v>3129.4176964327348</v>
      </c>
      <c r="D62" s="196">
        <f>D60*1000/D61/6</f>
        <v>3887.5531273791407</v>
      </c>
      <c r="E62" s="196">
        <f>E60*1000/E61/6</f>
        <v>2868.7305113813545</v>
      </c>
      <c r="F62" s="164">
        <f t="shared" si="4"/>
        <v>0.73792702437364688</v>
      </c>
      <c r="G62" s="196">
        <f t="shared" ref="G62:J62" si="41">G60*1000/G61/12</f>
        <v>4239.3980218156821</v>
      </c>
      <c r="H62" s="196">
        <f t="shared" si="41"/>
        <v>3498.4452571056204</v>
      </c>
      <c r="I62" s="164">
        <f t="shared" si="5"/>
        <v>0.82522217520101571</v>
      </c>
      <c r="J62" s="196">
        <f t="shared" si="41"/>
        <v>3475.4411946191012</v>
      </c>
      <c r="K62" s="212">
        <f t="shared" si="38"/>
        <v>1.1179221172979066</v>
      </c>
      <c r="L62" s="160">
        <f t="shared" si="39"/>
        <v>1.1105712090082456</v>
      </c>
      <c r="M62" s="212">
        <f t="shared" si="3"/>
        <v>0.99342448979591835</v>
      </c>
    </row>
    <row r="63" spans="1:16" ht="16" thickBot="1" x14ac:dyDescent="0.9">
      <c r="A63" s="156" t="s">
        <v>246</v>
      </c>
      <c r="B63" s="157" t="s">
        <v>131</v>
      </c>
      <c r="C63" s="215">
        <f t="shared" ref="C63:E63" si="42">C60/C50</f>
        <v>8.9400499686280679E-2</v>
      </c>
      <c r="D63" s="215">
        <f t="shared" si="42"/>
        <v>0.14531558383061025</v>
      </c>
      <c r="E63" s="215">
        <f t="shared" si="42"/>
        <v>7.5626263821724785E-2</v>
      </c>
      <c r="F63" s="164">
        <f t="shared" si="4"/>
        <v>0.52042776024545256</v>
      </c>
      <c r="G63" s="215">
        <f>G60/G50</f>
        <v>0.14343546205774413</v>
      </c>
      <c r="H63" s="215">
        <f t="shared" ref="H63:J63" si="43">H60/H50</f>
        <v>0.10721040788773142</v>
      </c>
      <c r="I63" s="164">
        <f t="shared" si="5"/>
        <v>0.74744701449471918</v>
      </c>
      <c r="J63" s="215">
        <f t="shared" si="43"/>
        <v>0.10669248321194529</v>
      </c>
      <c r="K63" s="212">
        <f t="shared" si="38"/>
        <v>1.199214861929724</v>
      </c>
      <c r="L63" s="160">
        <f t="shared" si="39"/>
        <v>1.1934215534179864</v>
      </c>
      <c r="M63" s="212">
        <f t="shared" si="3"/>
        <v>0.99516908212560395</v>
      </c>
    </row>
    <row r="64" spans="1:16" ht="16" thickBot="1" x14ac:dyDescent="0.9">
      <c r="A64" s="156" t="s">
        <v>134</v>
      </c>
      <c r="B64" s="157" t="s">
        <v>100</v>
      </c>
      <c r="C64" s="196">
        <v>519803.69</v>
      </c>
      <c r="D64" s="196">
        <f>'[7]EMPLEO Y SALARIO'!C23</f>
        <v>273020.06927594019</v>
      </c>
      <c r="E64" s="196">
        <f>'[7]EMPLEO Y SALARIO'!D23</f>
        <v>287805.51</v>
      </c>
      <c r="F64" s="164">
        <f t="shared" si="4"/>
        <v>1.0541551423793547</v>
      </c>
      <c r="G64" s="196">
        <v>671578.77758185484</v>
      </c>
      <c r="H64" s="196">
        <v>673416.82799999998</v>
      </c>
      <c r="I64" s="164">
        <f t="shared" si="5"/>
        <v>1.0027369096217771</v>
      </c>
      <c r="J64" s="196">
        <v>690252.2487</v>
      </c>
      <c r="K64" s="212">
        <f t="shared" si="38"/>
        <v>1.2955214457981243</v>
      </c>
      <c r="L64" s="160">
        <f t="shared" si="39"/>
        <v>1.3279094819430775</v>
      </c>
      <c r="M64" s="212">
        <f t="shared" si="3"/>
        <v>1.0250000000000001</v>
      </c>
    </row>
    <row r="65" spans="1:13" ht="16" thickBot="1" x14ac:dyDescent="0.9">
      <c r="A65" s="156" t="s">
        <v>136</v>
      </c>
      <c r="B65" s="157" t="s">
        <v>100</v>
      </c>
      <c r="C65" s="196">
        <f>C64/C61*1000/12</f>
        <v>10099.550983135152</v>
      </c>
      <c r="D65" s="196">
        <f>D64/D61*1000/6</f>
        <v>9192.5949251158308</v>
      </c>
      <c r="E65" s="196">
        <f>E64/E61*1000/6</f>
        <v>11217.86365762395</v>
      </c>
      <c r="F65" s="164">
        <f t="shared" si="4"/>
        <v>1.2203152373194122</v>
      </c>
      <c r="G65" s="196">
        <f t="shared" ref="G65:J65" si="44">G64/G61*1000/12</f>
        <v>10762.480409965623</v>
      </c>
      <c r="H65" s="196">
        <f t="shared" si="44"/>
        <v>11874.326914938638</v>
      </c>
      <c r="I65" s="164">
        <f t="shared" si="5"/>
        <v>1.1033076449499031</v>
      </c>
      <c r="J65" s="196">
        <f t="shared" si="44"/>
        <v>11738.98382142857</v>
      </c>
      <c r="K65" s="218">
        <f t="shared" si="38"/>
        <v>1.1757282016564019</v>
      </c>
      <c r="L65" s="219">
        <f t="shared" si="39"/>
        <v>1.1623272996028282</v>
      </c>
      <c r="M65" s="218">
        <f t="shared" si="3"/>
        <v>0.98860204081632641</v>
      </c>
    </row>
    <row r="66" spans="1:13" ht="16" thickBot="1" x14ac:dyDescent="0.9">
      <c r="A66" s="156" t="s">
        <v>139</v>
      </c>
      <c r="B66" s="157" t="s">
        <v>100</v>
      </c>
      <c r="C66" s="196">
        <v>51793.891284256701</v>
      </c>
      <c r="D66" s="196">
        <f>'[7]Modelo 1'!J38</f>
        <v>8739.5975711492756</v>
      </c>
      <c r="E66" s="196">
        <f>'[7]Modelo 1'!K38</f>
        <v>16694.84505</v>
      </c>
      <c r="F66" s="164">
        <f t="shared" si="4"/>
        <v>1.9102532941690806</v>
      </c>
      <c r="G66" s="196">
        <v>59509.732592147819</v>
      </c>
      <c r="H66" s="196">
        <f>N60</f>
        <v>50655.246454254971</v>
      </c>
      <c r="I66" s="164">
        <f t="shared" si="5"/>
        <v>0.85120944504023566</v>
      </c>
      <c r="J66" s="196">
        <f>P60</f>
        <v>39728.321966238989</v>
      </c>
      <c r="K66" s="218">
        <f t="shared" si="38"/>
        <v>0.97801584700881838</v>
      </c>
      <c r="L66" s="219">
        <f t="shared" si="39"/>
        <v>0.76704647944293058</v>
      </c>
      <c r="M66" s="218">
        <f t="shared" si="3"/>
        <v>0.78428839551923379</v>
      </c>
    </row>
    <row r="67" spans="1:13" ht="16.25" thickBot="1" x14ac:dyDescent="0.9">
      <c r="A67" s="150" t="s">
        <v>247</v>
      </c>
      <c r="B67" s="208"/>
      <c r="C67" s="209"/>
      <c r="D67" s="209"/>
      <c r="E67" s="209"/>
      <c r="F67" s="209"/>
      <c r="G67" s="209"/>
      <c r="H67" s="209"/>
      <c r="I67" s="209"/>
      <c r="J67" s="209"/>
      <c r="K67" s="210"/>
      <c r="L67" s="155"/>
      <c r="M67" s="210"/>
    </row>
    <row r="68" spans="1:13" ht="16" thickBot="1" x14ac:dyDescent="0.9">
      <c r="A68" s="156" t="s">
        <v>248</v>
      </c>
      <c r="B68" s="157" t="s">
        <v>100</v>
      </c>
      <c r="C68" s="197">
        <v>128884.2</v>
      </c>
      <c r="D68" s="197">
        <f>'[7]Modelo 1'!J46</f>
        <v>87859.110825429583</v>
      </c>
      <c r="E68" s="197">
        <f>'[7]Modelo 1'!K46</f>
        <v>80713.399999999994</v>
      </c>
      <c r="F68" s="164">
        <f t="shared" si="4"/>
        <v>0.91866852784763942</v>
      </c>
      <c r="G68" s="197">
        <v>211702.83682274129</v>
      </c>
      <c r="H68" s="222">
        <f>H69</f>
        <v>197354.1</v>
      </c>
      <c r="I68" s="164">
        <f t="shared" si="5"/>
        <v>0.93222227421186865</v>
      </c>
      <c r="J68" s="222">
        <f>J69</f>
        <v>249288.50400000002</v>
      </c>
      <c r="K68" s="223">
        <f t="shared" ref="K68:K76" si="45">H68/C68</f>
        <v>1.5312513093148734</v>
      </c>
      <c r="L68" s="160">
        <f t="shared" ref="L68:L76" si="46">J68/C68</f>
        <v>1.9342053098828251</v>
      </c>
      <c r="M68" s="223">
        <f t="shared" si="3"/>
        <v>1.2631534080112854</v>
      </c>
    </row>
    <row r="69" spans="1:13" ht="16" thickBot="1" x14ac:dyDescent="0.9">
      <c r="A69" s="156" t="s">
        <v>249</v>
      </c>
      <c r="B69" s="157" t="s">
        <v>100</v>
      </c>
      <c r="C69" s="197">
        <v>128884.2</v>
      </c>
      <c r="D69" s="197">
        <f>'[7]Modelo 1'!J47</f>
        <v>87859.110825429583</v>
      </c>
      <c r="E69" s="197">
        <f>'[7]Modelo 1'!K47</f>
        <v>80713.399999999994</v>
      </c>
      <c r="F69" s="164">
        <f t="shared" si="4"/>
        <v>0.91866852784763942</v>
      </c>
      <c r="G69" s="197">
        <v>211702.83682274129</v>
      </c>
      <c r="H69" s="222">
        <f>+H70+H71+H72+H73</f>
        <v>197354.1</v>
      </c>
      <c r="I69" s="164">
        <f t="shared" si="5"/>
        <v>0.93222227421186865</v>
      </c>
      <c r="J69" s="222">
        <f>+J70+J71+J72+J73</f>
        <v>249288.50400000002</v>
      </c>
      <c r="K69" s="223">
        <f t="shared" si="45"/>
        <v>1.5312513093148734</v>
      </c>
      <c r="L69" s="160">
        <f t="shared" si="46"/>
        <v>1.9342053098828251</v>
      </c>
      <c r="M69" s="223">
        <f t="shared" si="3"/>
        <v>1.2631534080112854</v>
      </c>
    </row>
    <row r="70" spans="1:13" ht="16" thickBot="1" x14ac:dyDescent="0.9">
      <c r="A70" s="156" t="s">
        <v>250</v>
      </c>
      <c r="B70" s="157" t="s">
        <v>100</v>
      </c>
      <c r="C70" s="197">
        <v>10015.5</v>
      </c>
      <c r="D70" s="197">
        <f>'[7]Modelo 1'!J48</f>
        <v>17571.82216508592</v>
      </c>
      <c r="E70" s="197">
        <f>'[7]Modelo 1'!K48</f>
        <v>7690</v>
      </c>
      <c r="F70" s="164">
        <f t="shared" si="4"/>
        <v>0.4376324736133248</v>
      </c>
      <c r="G70" s="197">
        <v>42340.56736454826</v>
      </c>
      <c r="H70" s="222">
        <v>10732.5</v>
      </c>
      <c r="I70" s="164">
        <f t="shared" si="5"/>
        <v>0.25348030666651666</v>
      </c>
      <c r="J70" s="224">
        <v>10732.5</v>
      </c>
      <c r="K70" s="223">
        <f t="shared" si="45"/>
        <v>1.0715890369926613</v>
      </c>
      <c r="L70" s="160">
        <f t="shared" si="46"/>
        <v>1.0715890369926613</v>
      </c>
      <c r="M70" s="223">
        <f t="shared" si="3"/>
        <v>1</v>
      </c>
    </row>
    <row r="71" spans="1:13" ht="16" thickBot="1" x14ac:dyDescent="0.9">
      <c r="A71" s="156" t="s">
        <v>251</v>
      </c>
      <c r="B71" s="157" t="s">
        <v>100</v>
      </c>
      <c r="C71" s="197">
        <v>40705.699999999997</v>
      </c>
      <c r="D71" s="197">
        <f>'[7]Modelo 1'!J49</f>
        <v>26357.733247628872</v>
      </c>
      <c r="E71" s="197">
        <f>'[7]Modelo 1'!K49</f>
        <v>21538.2</v>
      </c>
      <c r="F71" s="164">
        <f t="shared" si="4"/>
        <v>0.81714917582821978</v>
      </c>
      <c r="G71" s="197">
        <v>63510.851046822383</v>
      </c>
      <c r="H71" s="222">
        <v>15356.4</v>
      </c>
      <c r="I71" s="164">
        <f t="shared" si="5"/>
        <v>0.2417917528561967</v>
      </c>
      <c r="J71" s="224">
        <v>18581.243999999999</v>
      </c>
      <c r="K71" s="223">
        <f t="shared" si="45"/>
        <v>0.37725429116806741</v>
      </c>
      <c r="L71" s="160">
        <f t="shared" si="46"/>
        <v>0.45647769231336155</v>
      </c>
      <c r="M71" s="223">
        <f t="shared" si="3"/>
        <v>1.21</v>
      </c>
    </row>
    <row r="72" spans="1:13" ht="16" thickBot="1" x14ac:dyDescent="0.9">
      <c r="A72" s="156" t="s">
        <v>252</v>
      </c>
      <c r="B72" s="157" t="s">
        <v>100</v>
      </c>
      <c r="C72" s="197">
        <v>58428</v>
      </c>
      <c r="D72" s="197">
        <f>'[7]Modelo 1'!J50</f>
        <v>26357.733247628872</v>
      </c>
      <c r="E72" s="197">
        <f>'[7]Modelo 1'!K50</f>
        <v>43359.899999999994</v>
      </c>
      <c r="F72" s="164">
        <f t="shared" si="4"/>
        <v>1.645054208290109</v>
      </c>
      <c r="G72" s="197">
        <v>63510.851046822383</v>
      </c>
      <c r="H72" s="222">
        <v>162365.20000000001</v>
      </c>
      <c r="I72" s="164">
        <f t="shared" si="5"/>
        <v>2.5564954228104866</v>
      </c>
      <c r="J72" s="224">
        <v>211074.76</v>
      </c>
      <c r="K72" s="223">
        <f t="shared" si="45"/>
        <v>2.7788936811117959</v>
      </c>
      <c r="L72" s="160">
        <f t="shared" si="46"/>
        <v>3.6125617854453345</v>
      </c>
      <c r="M72" s="223">
        <f t="shared" si="3"/>
        <v>1.3</v>
      </c>
    </row>
    <row r="73" spans="1:13" ht="16" thickBot="1" x14ac:dyDescent="0.9">
      <c r="A73" s="156" t="s">
        <v>253</v>
      </c>
      <c r="B73" s="157" t="s">
        <v>100</v>
      </c>
      <c r="C73" s="197">
        <v>19735.099999999999</v>
      </c>
      <c r="D73" s="197">
        <f>'[7]Modelo 1'!J51</f>
        <v>17571.82216508592</v>
      </c>
      <c r="E73" s="197">
        <f>'[7]Modelo 1'!K51</f>
        <v>8125.3</v>
      </c>
      <c r="F73" s="164">
        <f t="shared" si="4"/>
        <v>0.46240508944737951</v>
      </c>
      <c r="G73" s="197">
        <v>42340.56736454826</v>
      </c>
      <c r="H73" s="222">
        <v>8900</v>
      </c>
      <c r="I73" s="164">
        <f t="shared" si="5"/>
        <v>0.21020030089280206</v>
      </c>
      <c r="J73" s="224">
        <v>8900</v>
      </c>
      <c r="K73" s="223">
        <f t="shared" si="45"/>
        <v>0.45097313922908933</v>
      </c>
      <c r="L73" s="160">
        <f t="shared" si="46"/>
        <v>0.45097313922908933</v>
      </c>
      <c r="M73" s="223">
        <f t="shared" si="3"/>
        <v>1</v>
      </c>
    </row>
    <row r="74" spans="1:13" ht="16" thickBot="1" x14ac:dyDescent="0.9">
      <c r="A74" s="156" t="s">
        <v>254</v>
      </c>
      <c r="B74" s="157" t="s">
        <v>100</v>
      </c>
      <c r="C74" s="197">
        <v>399.7</v>
      </c>
      <c r="D74" s="197">
        <f>'[7]Modelo 1'!J52</f>
        <v>285.30412374676428</v>
      </c>
      <c r="E74" s="197">
        <f>'[7]Modelo 1'!K52</f>
        <v>199.92041666666668</v>
      </c>
      <c r="F74" s="164">
        <f t="shared" si="4"/>
        <v>0.70072739938423001</v>
      </c>
      <c r="G74" s="197">
        <v>729.99833333333345</v>
      </c>
      <c r="H74" s="222">
        <f>H34*1000</f>
        <v>484</v>
      </c>
      <c r="I74" s="164">
        <f t="shared" si="5"/>
        <v>0.66301521236349847</v>
      </c>
      <c r="J74" s="224">
        <f>J79*1000</f>
        <v>533</v>
      </c>
      <c r="K74" s="223">
        <f t="shared" si="45"/>
        <v>1.210908181135852</v>
      </c>
      <c r="L74" s="160">
        <f t="shared" si="46"/>
        <v>1.3335001250938203</v>
      </c>
      <c r="M74" s="223">
        <f t="shared" ref="M74:M120" si="47">J74/H74</f>
        <v>1.1012396694214877</v>
      </c>
    </row>
    <row r="75" spans="1:13" ht="16" thickBot="1" x14ac:dyDescent="0.9">
      <c r="A75" s="156" t="s">
        <v>255</v>
      </c>
      <c r="B75" s="157" t="s">
        <v>100</v>
      </c>
      <c r="C75" s="197">
        <v>399.7</v>
      </c>
      <c r="D75" s="197">
        <f>'[7]Modelo 1'!J53</f>
        <v>285.30412374676428</v>
      </c>
      <c r="E75" s="197">
        <f>'[7]Modelo 1'!K53</f>
        <v>199.92041666666668</v>
      </c>
      <c r="F75" s="164">
        <f t="shared" ref="F75:F124" si="48">E75/D75</f>
        <v>0.70072739938423001</v>
      </c>
      <c r="G75" s="197">
        <v>729</v>
      </c>
      <c r="H75" s="222">
        <f>H74</f>
        <v>484</v>
      </c>
      <c r="I75" s="164">
        <f t="shared" ref="I75:I124" si="49">H75/G75</f>
        <v>0.66392318244170101</v>
      </c>
      <c r="J75" s="224">
        <f>J81*1000</f>
        <v>533</v>
      </c>
      <c r="K75" s="223">
        <f t="shared" si="45"/>
        <v>1.210908181135852</v>
      </c>
      <c r="L75" s="160">
        <f t="shared" si="46"/>
        <v>1.3335001250938203</v>
      </c>
      <c r="M75" s="223">
        <f t="shared" si="47"/>
        <v>1.1012396694214877</v>
      </c>
    </row>
    <row r="76" spans="1:13" ht="16" thickBot="1" x14ac:dyDescent="0.9">
      <c r="A76" s="156" t="s">
        <v>256</v>
      </c>
      <c r="B76" s="157" t="s">
        <v>100</v>
      </c>
      <c r="C76" s="197">
        <v>140322.4</v>
      </c>
      <c r="D76" s="197">
        <f>'[7]Modelo 1'!J54</f>
        <v>132305.68707064411</v>
      </c>
      <c r="E76" s="197">
        <f>'[7]Modelo 1'!K54</f>
        <v>204709.80000000002</v>
      </c>
      <c r="F76" s="164">
        <f t="shared" si="48"/>
        <v>1.5472486824447389</v>
      </c>
      <c r="G76" s="197">
        <v>299269.89914943004</v>
      </c>
      <c r="H76" s="222">
        <v>596358.34546156682</v>
      </c>
      <c r="I76" s="164">
        <f t="shared" si="49"/>
        <v>1.9927107509191759</v>
      </c>
      <c r="J76" s="222">
        <v>608285.51237079815</v>
      </c>
      <c r="K76" s="223">
        <f t="shared" si="45"/>
        <v>4.2499155192725242</v>
      </c>
      <c r="L76" s="160">
        <f t="shared" si="46"/>
        <v>4.3349138296579746</v>
      </c>
      <c r="M76" s="223">
        <f t="shared" si="47"/>
        <v>1.02</v>
      </c>
    </row>
    <row r="77" spans="1:13" ht="16.25" thickBot="1" x14ac:dyDescent="0.9">
      <c r="A77" s="150" t="s">
        <v>257</v>
      </c>
      <c r="B77" s="208"/>
      <c r="C77" s="209"/>
      <c r="D77" s="209"/>
      <c r="E77" s="209"/>
      <c r="F77" s="209"/>
      <c r="G77" s="209"/>
      <c r="H77" s="209"/>
      <c r="I77" s="209"/>
      <c r="J77" s="209"/>
      <c r="K77" s="210"/>
      <c r="L77" s="155"/>
      <c r="M77" s="210"/>
    </row>
    <row r="78" spans="1:13" ht="16.25" thickBot="1" x14ac:dyDescent="0.9">
      <c r="A78" s="150" t="s">
        <v>258</v>
      </c>
      <c r="B78" s="208"/>
      <c r="C78" s="209"/>
      <c r="D78" s="209"/>
      <c r="E78" s="209"/>
      <c r="F78" s="209"/>
      <c r="G78" s="209"/>
      <c r="H78" s="209"/>
      <c r="I78" s="209"/>
      <c r="J78" s="209"/>
      <c r="K78" s="210"/>
      <c r="L78" s="155"/>
      <c r="M78" s="210"/>
    </row>
    <row r="79" spans="1:13" ht="16.25" thickBot="1" x14ac:dyDescent="0.9">
      <c r="A79" s="225" t="s">
        <v>259</v>
      </c>
      <c r="B79" s="157" t="s">
        <v>221</v>
      </c>
      <c r="C79" s="186">
        <f t="shared" ref="C79:E79" si="50">+C80+C81</f>
        <v>0.38413999999999998</v>
      </c>
      <c r="D79" s="186">
        <f t="shared" si="50"/>
        <v>285.30412374676428</v>
      </c>
      <c r="E79" s="186">
        <f t="shared" si="50"/>
        <v>199.92041666666668</v>
      </c>
      <c r="F79" s="164">
        <f t="shared" si="48"/>
        <v>0.70072739938423001</v>
      </c>
      <c r="G79" s="186">
        <f>+G80+G81</f>
        <v>0.73</v>
      </c>
      <c r="H79" s="186">
        <f t="shared" ref="H79:J79" si="51">+H80+H81</f>
        <v>0.48399999999999999</v>
      </c>
      <c r="I79" s="164">
        <f t="shared" si="49"/>
        <v>0.66301369863013704</v>
      </c>
      <c r="J79" s="186">
        <f t="shared" si="51"/>
        <v>0.53300000000000003</v>
      </c>
      <c r="K79" s="226">
        <f t="shared" ref="K79:K101" si="52">H79/C79</f>
        <v>1.2599573072317385</v>
      </c>
      <c r="L79" s="160">
        <f t="shared" ref="L79:L124" si="53">J79/C79</f>
        <v>1.3875149685010675</v>
      </c>
      <c r="M79" s="226">
        <f t="shared" si="47"/>
        <v>1.1012396694214877</v>
      </c>
    </row>
    <row r="80" spans="1:13" ht="16.25" thickBot="1" x14ac:dyDescent="0.9">
      <c r="A80" s="225" t="s">
        <v>260</v>
      </c>
      <c r="B80" s="157" t="s">
        <v>221</v>
      </c>
      <c r="C80" s="186"/>
      <c r="D80" s="186"/>
      <c r="E80" s="186"/>
      <c r="F80" s="164" t="e">
        <f t="shared" si="48"/>
        <v>#DIV/0!</v>
      </c>
      <c r="G80" s="186">
        <v>1E-3</v>
      </c>
      <c r="H80" s="186"/>
      <c r="I80" s="164">
        <f t="shared" si="49"/>
        <v>0</v>
      </c>
      <c r="J80" s="227"/>
      <c r="K80" s="226" t="e">
        <f t="shared" si="52"/>
        <v>#DIV/0!</v>
      </c>
      <c r="L80" s="160" t="e">
        <f t="shared" si="53"/>
        <v>#DIV/0!</v>
      </c>
      <c r="M80" s="226" t="e">
        <f t="shared" si="47"/>
        <v>#DIV/0!</v>
      </c>
    </row>
    <row r="81" spans="1:13" ht="16.25" thickBot="1" x14ac:dyDescent="0.9">
      <c r="A81" s="225" t="s">
        <v>261</v>
      </c>
      <c r="B81" s="157" t="s">
        <v>221</v>
      </c>
      <c r="C81" s="186">
        <f>SUM(C82:C82)</f>
        <v>0.38413999999999998</v>
      </c>
      <c r="D81" s="186">
        <f>SUM(D82:D82)</f>
        <v>285.30412374676428</v>
      </c>
      <c r="E81" s="186">
        <f>SUM(E82:E82)</f>
        <v>199.92041666666668</v>
      </c>
      <c r="F81" s="164">
        <f t="shared" si="48"/>
        <v>0.70072739938423001</v>
      </c>
      <c r="G81" s="186">
        <v>0.72899999999999998</v>
      </c>
      <c r="H81" s="186">
        <f>SUM(H82:H82)</f>
        <v>0.48399999999999999</v>
      </c>
      <c r="I81" s="164">
        <f t="shared" si="49"/>
        <v>0.66392318244170101</v>
      </c>
      <c r="J81" s="186">
        <f>SUM(J82:J82)</f>
        <v>0.53300000000000003</v>
      </c>
      <c r="K81" s="226">
        <f t="shared" si="52"/>
        <v>1.2599573072317385</v>
      </c>
      <c r="L81" s="160">
        <f t="shared" si="53"/>
        <v>1.3875149685010675</v>
      </c>
      <c r="M81" s="226">
        <f t="shared" si="47"/>
        <v>1.1012396694214877</v>
      </c>
    </row>
    <row r="82" spans="1:13" ht="16" thickBot="1" x14ac:dyDescent="0.9">
      <c r="A82" s="228" t="s">
        <v>262</v>
      </c>
      <c r="B82" s="157" t="s">
        <v>221</v>
      </c>
      <c r="C82" s="186">
        <v>0.38413999999999998</v>
      </c>
      <c r="D82" s="186">
        <f>D74</f>
        <v>285.30412374676428</v>
      </c>
      <c r="E82" s="186">
        <f>E74</f>
        <v>199.92041666666668</v>
      </c>
      <c r="F82" s="164">
        <f t="shared" si="48"/>
        <v>0.70072739938423001</v>
      </c>
      <c r="G82" s="186">
        <v>0.72899999999999998</v>
      </c>
      <c r="H82" s="186">
        <f>H34</f>
        <v>0.48399999999999999</v>
      </c>
      <c r="I82" s="164">
        <f t="shared" si="49"/>
        <v>0.66392318244170101</v>
      </c>
      <c r="J82" s="227">
        <f>J34</f>
        <v>0.53300000000000003</v>
      </c>
      <c r="K82" s="226">
        <f t="shared" si="52"/>
        <v>1.2599573072317385</v>
      </c>
      <c r="L82" s="160">
        <f t="shared" si="53"/>
        <v>1.3875149685010675</v>
      </c>
      <c r="M82" s="226">
        <f t="shared" si="47"/>
        <v>1.1012396694214877</v>
      </c>
    </row>
    <row r="83" spans="1:13" ht="16.25" thickBot="1" x14ac:dyDescent="0.9">
      <c r="A83" s="225" t="s">
        <v>263</v>
      </c>
      <c r="B83" s="157" t="s">
        <v>221</v>
      </c>
      <c r="C83" s="187">
        <f t="shared" ref="C83:E83" si="54">SUM(C88+C96+C100)</f>
        <v>5.6299999999999996E-3</v>
      </c>
      <c r="D83" s="187">
        <f t="shared" si="54"/>
        <v>0.42800000000000005</v>
      </c>
      <c r="E83" s="187">
        <f t="shared" si="54"/>
        <v>5.3E-3</v>
      </c>
      <c r="F83" s="164">
        <f t="shared" si="48"/>
        <v>1.2383177570093457E-2</v>
      </c>
      <c r="G83" s="187">
        <f>SUM(G88+G96+G100)</f>
        <v>1.5290000000000001</v>
      </c>
      <c r="H83" s="187">
        <f>SUM(H88+H96+H100)</f>
        <v>1.2090000000000001</v>
      </c>
      <c r="I83" s="164">
        <f t="shared" si="49"/>
        <v>0.79071288423806407</v>
      </c>
      <c r="J83" s="187">
        <f>SUM(J88+J96+J100)</f>
        <v>1.1240000000000001</v>
      </c>
      <c r="K83" s="226">
        <f t="shared" si="52"/>
        <v>214.74245115452933</v>
      </c>
      <c r="L83" s="160">
        <f t="shared" si="53"/>
        <v>199.64476021314391</v>
      </c>
      <c r="M83" s="226">
        <f t="shared" si="47"/>
        <v>0.92969396195202647</v>
      </c>
    </row>
    <row r="84" spans="1:13" ht="16" hidden="1" thickBot="1" x14ac:dyDescent="0.9">
      <c r="A84" s="229" t="s">
        <v>264</v>
      </c>
      <c r="B84" s="157" t="s">
        <v>221</v>
      </c>
      <c r="C84" s="187"/>
      <c r="D84" s="187"/>
      <c r="E84" s="187"/>
      <c r="F84" s="164" t="e">
        <f t="shared" si="48"/>
        <v>#DIV/0!</v>
      </c>
      <c r="G84" s="187"/>
      <c r="H84" s="187"/>
      <c r="I84" s="164" t="e">
        <f t="shared" si="49"/>
        <v>#DIV/0!</v>
      </c>
      <c r="J84" s="230"/>
      <c r="K84" s="226" t="e">
        <f t="shared" si="52"/>
        <v>#DIV/0!</v>
      </c>
      <c r="L84" s="160" t="e">
        <f t="shared" si="53"/>
        <v>#DIV/0!</v>
      </c>
      <c r="M84" s="226" t="e">
        <f t="shared" si="47"/>
        <v>#DIV/0!</v>
      </c>
    </row>
    <row r="85" spans="1:13" ht="16" hidden="1" thickBot="1" x14ac:dyDescent="0.9">
      <c r="A85" s="231" t="s">
        <v>265</v>
      </c>
      <c r="B85" s="157" t="s">
        <v>221</v>
      </c>
      <c r="C85" s="187"/>
      <c r="D85" s="187"/>
      <c r="E85" s="187"/>
      <c r="F85" s="164" t="e">
        <f t="shared" si="48"/>
        <v>#DIV/0!</v>
      </c>
      <c r="G85" s="187"/>
      <c r="H85" s="187"/>
      <c r="I85" s="164" t="e">
        <f t="shared" si="49"/>
        <v>#DIV/0!</v>
      </c>
      <c r="J85" s="230"/>
      <c r="K85" s="226" t="e">
        <f t="shared" si="52"/>
        <v>#DIV/0!</v>
      </c>
      <c r="L85" s="160" t="e">
        <f t="shared" si="53"/>
        <v>#DIV/0!</v>
      </c>
      <c r="M85" s="226" t="e">
        <f t="shared" si="47"/>
        <v>#DIV/0!</v>
      </c>
    </row>
    <row r="86" spans="1:13" ht="16" hidden="1" thickBot="1" x14ac:dyDescent="0.9">
      <c r="A86" s="231" t="s">
        <v>266</v>
      </c>
      <c r="B86" s="157" t="s">
        <v>221</v>
      </c>
      <c r="C86" s="187"/>
      <c r="D86" s="187"/>
      <c r="E86" s="187"/>
      <c r="F86" s="164" t="e">
        <f t="shared" si="48"/>
        <v>#DIV/0!</v>
      </c>
      <c r="G86" s="187"/>
      <c r="H86" s="187"/>
      <c r="I86" s="164" t="e">
        <f t="shared" si="49"/>
        <v>#DIV/0!</v>
      </c>
      <c r="J86" s="230"/>
      <c r="K86" s="226" t="e">
        <f t="shared" si="52"/>
        <v>#DIV/0!</v>
      </c>
      <c r="L86" s="160" t="e">
        <f t="shared" si="53"/>
        <v>#DIV/0!</v>
      </c>
      <c r="M86" s="226" t="e">
        <f t="shared" si="47"/>
        <v>#DIV/0!</v>
      </c>
    </row>
    <row r="87" spans="1:13" ht="16" hidden="1" thickBot="1" x14ac:dyDescent="0.9">
      <c r="A87" s="231" t="s">
        <v>267</v>
      </c>
      <c r="B87" s="157" t="s">
        <v>221</v>
      </c>
      <c r="C87" s="187"/>
      <c r="D87" s="187"/>
      <c r="E87" s="187"/>
      <c r="F87" s="164" t="e">
        <f t="shared" si="48"/>
        <v>#DIV/0!</v>
      </c>
      <c r="G87" s="187"/>
      <c r="H87" s="187"/>
      <c r="I87" s="164" t="e">
        <f t="shared" si="49"/>
        <v>#DIV/0!</v>
      </c>
      <c r="J87" s="230"/>
      <c r="K87" s="226" t="e">
        <f t="shared" si="52"/>
        <v>#DIV/0!</v>
      </c>
      <c r="L87" s="160" t="e">
        <f t="shared" si="53"/>
        <v>#DIV/0!</v>
      </c>
      <c r="M87" s="226" t="e">
        <f t="shared" si="47"/>
        <v>#DIV/0!</v>
      </c>
    </row>
    <row r="88" spans="1:13" ht="16" thickBot="1" x14ac:dyDescent="0.9">
      <c r="A88" s="229" t="s">
        <v>268</v>
      </c>
      <c r="B88" s="157" t="s">
        <v>221</v>
      </c>
      <c r="C88" s="187">
        <f t="shared" ref="C88:E88" si="55">SUM(C89:C91)</f>
        <v>0</v>
      </c>
      <c r="D88" s="187">
        <f t="shared" si="55"/>
        <v>0.34800000000000003</v>
      </c>
      <c r="E88" s="187">
        <f t="shared" si="55"/>
        <v>0</v>
      </c>
      <c r="F88" s="164">
        <f t="shared" si="48"/>
        <v>0</v>
      </c>
      <c r="G88" s="187">
        <f>SUM(G89:G91)</f>
        <v>1.1850000000000001</v>
      </c>
      <c r="H88" s="187">
        <f t="shared" ref="H88:J88" si="56">SUM(H89:H91)</f>
        <v>1.1850000000000001</v>
      </c>
      <c r="I88" s="164">
        <f t="shared" si="49"/>
        <v>1</v>
      </c>
      <c r="J88" s="187">
        <f t="shared" si="56"/>
        <v>1.1000000000000001</v>
      </c>
      <c r="K88" s="226" t="e">
        <f t="shared" si="52"/>
        <v>#DIV/0!</v>
      </c>
      <c r="L88" s="160" t="e">
        <f t="shared" si="53"/>
        <v>#DIV/0!</v>
      </c>
      <c r="M88" s="226">
        <f t="shared" si="47"/>
        <v>0.92827004219409281</v>
      </c>
    </row>
    <row r="89" spans="1:13" ht="16" thickBot="1" x14ac:dyDescent="0.9">
      <c r="A89" s="231" t="s">
        <v>265</v>
      </c>
      <c r="B89" s="157" t="s">
        <v>221</v>
      </c>
      <c r="C89" s="187">
        <v>0</v>
      </c>
      <c r="D89" s="187"/>
      <c r="E89" s="187"/>
      <c r="F89" s="164" t="e">
        <f t="shared" si="48"/>
        <v>#DIV/0!</v>
      </c>
      <c r="G89" s="187"/>
      <c r="H89" s="187"/>
      <c r="I89" s="164" t="e">
        <f t="shared" si="49"/>
        <v>#DIV/0!</v>
      </c>
      <c r="J89" s="187"/>
      <c r="K89" s="226" t="e">
        <f t="shared" si="52"/>
        <v>#DIV/0!</v>
      </c>
      <c r="L89" s="160" t="e">
        <f t="shared" si="53"/>
        <v>#DIV/0!</v>
      </c>
      <c r="M89" s="226" t="e">
        <f t="shared" si="47"/>
        <v>#DIV/0!</v>
      </c>
    </row>
    <row r="90" spans="1:13" ht="16" thickBot="1" x14ac:dyDescent="0.9">
      <c r="A90" s="231" t="s">
        <v>266</v>
      </c>
      <c r="B90" s="157" t="s">
        <v>221</v>
      </c>
      <c r="C90" s="187">
        <v>0</v>
      </c>
      <c r="D90" s="187">
        <v>8.4000000000000005E-2</v>
      </c>
      <c r="E90" s="187"/>
      <c r="F90" s="164">
        <f t="shared" si="48"/>
        <v>0</v>
      </c>
      <c r="G90" s="187">
        <v>0.3</v>
      </c>
      <c r="H90" s="187">
        <v>0.3</v>
      </c>
      <c r="I90" s="164">
        <f t="shared" si="49"/>
        <v>1</v>
      </c>
      <c r="J90" s="187">
        <v>0.3</v>
      </c>
      <c r="K90" s="226" t="e">
        <f t="shared" si="52"/>
        <v>#DIV/0!</v>
      </c>
      <c r="L90" s="160" t="e">
        <f t="shared" si="53"/>
        <v>#DIV/0!</v>
      </c>
      <c r="M90" s="226">
        <f t="shared" si="47"/>
        <v>1</v>
      </c>
    </row>
    <row r="91" spans="1:13" ht="16" thickBot="1" x14ac:dyDescent="0.9">
      <c r="A91" s="231" t="s">
        <v>267</v>
      </c>
      <c r="B91" s="157" t="s">
        <v>221</v>
      </c>
      <c r="C91" s="232"/>
      <c r="D91" s="187">
        <v>0.26400000000000001</v>
      </c>
      <c r="E91" s="187"/>
      <c r="F91" s="164">
        <f t="shared" si="48"/>
        <v>0</v>
      </c>
      <c r="G91" s="187">
        <v>0.88500000000000001</v>
      </c>
      <c r="H91" s="187">
        <v>0.88500000000000001</v>
      </c>
      <c r="I91" s="164">
        <f t="shared" si="49"/>
        <v>1</v>
      </c>
      <c r="J91" s="230">
        <v>0.8</v>
      </c>
      <c r="K91" s="226" t="e">
        <f t="shared" si="52"/>
        <v>#DIV/0!</v>
      </c>
      <c r="L91" s="160" t="e">
        <f t="shared" si="53"/>
        <v>#DIV/0!</v>
      </c>
      <c r="M91" s="226">
        <f t="shared" si="47"/>
        <v>0.903954802259887</v>
      </c>
    </row>
    <row r="92" spans="1:13" ht="16" thickBot="1" x14ac:dyDescent="0.9">
      <c r="A92" s="229" t="s">
        <v>269</v>
      </c>
      <c r="B92" s="157" t="s">
        <v>221</v>
      </c>
      <c r="C92" s="187">
        <f>C94</f>
        <v>0.22892999999999999</v>
      </c>
      <c r="D92" s="187">
        <f t="shared" ref="D92:E92" si="57">D94</f>
        <v>0</v>
      </c>
      <c r="E92" s="187">
        <f t="shared" si="57"/>
        <v>0</v>
      </c>
      <c r="F92" s="164" t="e">
        <f t="shared" si="48"/>
        <v>#DIV/0!</v>
      </c>
      <c r="G92" s="232">
        <f>SUM(G93:G94)</f>
        <v>0</v>
      </c>
      <c r="H92" s="232">
        <f>SUM(H93:H94)</f>
        <v>2.3639999999999999</v>
      </c>
      <c r="I92" s="164" t="e">
        <f t="shared" si="49"/>
        <v>#DIV/0!</v>
      </c>
      <c r="J92" s="187">
        <f>SUM(J93:J94)</f>
        <v>2.35</v>
      </c>
      <c r="K92" s="226">
        <f t="shared" si="52"/>
        <v>10.326300615908792</v>
      </c>
      <c r="L92" s="160">
        <f t="shared" si="53"/>
        <v>10.265146551347573</v>
      </c>
      <c r="M92" s="226">
        <f t="shared" si="47"/>
        <v>0.99407783417935713</v>
      </c>
    </row>
    <row r="93" spans="1:13" ht="16" thickBot="1" x14ac:dyDescent="0.9">
      <c r="A93" s="229" t="s">
        <v>270</v>
      </c>
      <c r="B93" s="157" t="s">
        <v>221</v>
      </c>
      <c r="C93" s="232"/>
      <c r="D93" s="232"/>
      <c r="E93" s="232"/>
      <c r="F93" s="164" t="e">
        <f t="shared" si="48"/>
        <v>#DIV/0!</v>
      </c>
      <c r="G93" s="232"/>
      <c r="H93" s="232"/>
      <c r="I93" s="164" t="e">
        <f t="shared" si="49"/>
        <v>#DIV/0!</v>
      </c>
      <c r="J93" s="233"/>
      <c r="K93" s="226" t="e">
        <f t="shared" si="52"/>
        <v>#DIV/0!</v>
      </c>
      <c r="L93" s="160" t="e">
        <f t="shared" si="53"/>
        <v>#DIV/0!</v>
      </c>
      <c r="M93" s="226" t="e">
        <f t="shared" si="47"/>
        <v>#DIV/0!</v>
      </c>
    </row>
    <row r="94" spans="1:13" ht="16" thickBot="1" x14ac:dyDescent="0.9">
      <c r="A94" s="229" t="s">
        <v>271</v>
      </c>
      <c r="B94" s="157" t="s">
        <v>221</v>
      </c>
      <c r="C94" s="187">
        <v>0.22892999999999999</v>
      </c>
      <c r="D94" s="232"/>
      <c r="E94" s="232"/>
      <c r="F94" s="164" t="e">
        <f t="shared" si="48"/>
        <v>#DIV/0!</v>
      </c>
      <c r="G94" s="232"/>
      <c r="H94" s="187">
        <v>2.3639999999999999</v>
      </c>
      <c r="I94" s="164" t="e">
        <f t="shared" si="49"/>
        <v>#DIV/0!</v>
      </c>
      <c r="J94" s="234">
        <v>2.35</v>
      </c>
      <c r="K94" s="226">
        <f t="shared" si="52"/>
        <v>10.326300615908792</v>
      </c>
      <c r="L94" s="160">
        <f t="shared" si="53"/>
        <v>10.265146551347573</v>
      </c>
      <c r="M94" s="226">
        <f t="shared" si="47"/>
        <v>0.99407783417935713</v>
      </c>
    </row>
    <row r="95" spans="1:13" ht="16" thickBot="1" x14ac:dyDescent="0.9">
      <c r="A95" s="229" t="s">
        <v>272</v>
      </c>
      <c r="B95" s="157" t="s">
        <v>221</v>
      </c>
      <c r="C95" s="187">
        <f>SUM(C96:C98)</f>
        <v>0</v>
      </c>
      <c r="D95" s="187">
        <f t="shared" ref="D95:E95" si="58">SUM(D96:D98)</f>
        <v>0.16</v>
      </c>
      <c r="E95" s="187">
        <f t="shared" si="58"/>
        <v>4.3999999999999997E-2</v>
      </c>
      <c r="F95" s="164">
        <f t="shared" si="48"/>
        <v>0.27499999999999997</v>
      </c>
      <c r="G95" s="235">
        <f t="shared" ref="G95:J95" si="59">SUM(G96:G98)</f>
        <v>0.64</v>
      </c>
      <c r="H95" s="235">
        <f t="shared" si="59"/>
        <v>5.6399099999999995</v>
      </c>
      <c r="I95" s="164">
        <f t="shared" si="49"/>
        <v>8.8123593749999998</v>
      </c>
      <c r="J95" s="187">
        <f t="shared" si="59"/>
        <v>5.9</v>
      </c>
      <c r="K95" s="226" t="e">
        <f t="shared" si="52"/>
        <v>#DIV/0!</v>
      </c>
      <c r="L95" s="160" t="e">
        <f t="shared" si="53"/>
        <v>#DIV/0!</v>
      </c>
      <c r="M95" s="226">
        <f t="shared" si="47"/>
        <v>1.046115984120314</v>
      </c>
    </row>
    <row r="96" spans="1:13" ht="16" thickBot="1" x14ac:dyDescent="0.9">
      <c r="A96" s="236" t="s">
        <v>273</v>
      </c>
      <c r="B96" s="157" t="s">
        <v>221</v>
      </c>
      <c r="C96" s="187"/>
      <c r="D96" s="187">
        <v>0.08</v>
      </c>
      <c r="E96" s="187"/>
      <c r="F96" s="164">
        <f t="shared" si="48"/>
        <v>0</v>
      </c>
      <c r="G96" s="235">
        <v>0.32</v>
      </c>
      <c r="H96" s="235">
        <v>0</v>
      </c>
      <c r="I96" s="164">
        <f t="shared" si="49"/>
        <v>0</v>
      </c>
      <c r="J96" s="230"/>
      <c r="K96" s="226" t="e">
        <f t="shared" si="52"/>
        <v>#DIV/0!</v>
      </c>
      <c r="L96" s="160" t="e">
        <f t="shared" si="53"/>
        <v>#DIV/0!</v>
      </c>
      <c r="M96" s="226" t="e">
        <f t="shared" si="47"/>
        <v>#DIV/0!</v>
      </c>
    </row>
    <row r="97" spans="1:13" ht="16" thickBot="1" x14ac:dyDescent="0.9">
      <c r="A97" s="236" t="s">
        <v>274</v>
      </c>
      <c r="B97" s="157" t="s">
        <v>221</v>
      </c>
      <c r="C97" s="187"/>
      <c r="D97" s="187">
        <f>G97/4</f>
        <v>0.08</v>
      </c>
      <c r="E97" s="187">
        <v>4.3999999999999997E-2</v>
      </c>
      <c r="F97" s="164">
        <f t="shared" si="48"/>
        <v>0.54999999999999993</v>
      </c>
      <c r="G97" s="187">
        <v>0.32</v>
      </c>
      <c r="H97" s="187">
        <v>0.32400000000000001</v>
      </c>
      <c r="I97" s="164">
        <f t="shared" si="49"/>
        <v>1.0125</v>
      </c>
      <c r="J97" s="230">
        <v>0.4</v>
      </c>
      <c r="K97" s="226" t="e">
        <f t="shared" si="52"/>
        <v>#DIV/0!</v>
      </c>
      <c r="L97" s="160" t="e">
        <f t="shared" si="53"/>
        <v>#DIV/0!</v>
      </c>
      <c r="M97" s="226">
        <f t="shared" si="47"/>
        <v>1.2345679012345678</v>
      </c>
    </row>
    <row r="98" spans="1:13" ht="16" thickBot="1" x14ac:dyDescent="0.9">
      <c r="A98" s="236" t="s">
        <v>275</v>
      </c>
      <c r="B98" s="157" t="s">
        <v>221</v>
      </c>
      <c r="C98" s="187"/>
      <c r="D98" s="187"/>
      <c r="E98" s="187"/>
      <c r="F98" s="164" t="e">
        <f t="shared" si="48"/>
        <v>#DIV/0!</v>
      </c>
      <c r="G98" s="187"/>
      <c r="H98" s="187">
        <v>5.3159099999999997</v>
      </c>
      <c r="I98" s="164" t="e">
        <f t="shared" si="49"/>
        <v>#DIV/0!</v>
      </c>
      <c r="J98" s="230">
        <v>5.5</v>
      </c>
      <c r="K98" s="226" t="e">
        <f t="shared" si="52"/>
        <v>#DIV/0!</v>
      </c>
      <c r="L98" s="160" t="e">
        <f t="shared" si="53"/>
        <v>#DIV/0!</v>
      </c>
      <c r="M98" s="226">
        <f t="shared" si="47"/>
        <v>1.0346300069038039</v>
      </c>
    </row>
    <row r="99" spans="1:13" ht="16.25" thickBot="1" x14ac:dyDescent="0.9">
      <c r="A99" s="225" t="s">
        <v>276</v>
      </c>
      <c r="B99" s="157" t="s">
        <v>221</v>
      </c>
      <c r="C99" s="187">
        <f t="shared" ref="C99:E99" si="60">SUM(C100:C101)</f>
        <v>0.23455999999999999</v>
      </c>
      <c r="D99" s="187">
        <f t="shared" si="60"/>
        <v>0.34800000000000003</v>
      </c>
      <c r="E99" s="187">
        <f t="shared" si="60"/>
        <v>5.3E-3</v>
      </c>
      <c r="F99" s="164">
        <f t="shared" si="48"/>
        <v>1.5229885057471262E-2</v>
      </c>
      <c r="G99" s="187">
        <f>SUM(G100:G101)</f>
        <v>1.8490000000000002</v>
      </c>
      <c r="H99" s="187">
        <f t="shared" ref="H99:J99" si="61">SUM(H100:H101)</f>
        <v>9.212909999999999</v>
      </c>
      <c r="I99" s="164">
        <f t="shared" si="49"/>
        <v>4.9826446727961047</v>
      </c>
      <c r="J99" s="187">
        <f t="shared" si="61"/>
        <v>9.3739999999999988</v>
      </c>
      <c r="K99" s="226">
        <f t="shared" si="52"/>
        <v>39.277413028649384</v>
      </c>
      <c r="L99" s="160">
        <f t="shared" si="53"/>
        <v>39.964188267394263</v>
      </c>
      <c r="M99" s="226">
        <f t="shared" si="47"/>
        <v>1.0174852462468427</v>
      </c>
    </row>
    <row r="100" spans="1:13" ht="16" thickBot="1" x14ac:dyDescent="0.9">
      <c r="A100" s="229" t="s">
        <v>277</v>
      </c>
      <c r="B100" s="157" t="s">
        <v>221</v>
      </c>
      <c r="C100" s="187">
        <v>5.6299999999999996E-3</v>
      </c>
      <c r="D100" s="187"/>
      <c r="E100" s="187">
        <v>5.3E-3</v>
      </c>
      <c r="F100" s="164" t="e">
        <f t="shared" si="48"/>
        <v>#DIV/0!</v>
      </c>
      <c r="G100" s="187">
        <v>2.4E-2</v>
      </c>
      <c r="H100" s="187">
        <v>2.4E-2</v>
      </c>
      <c r="I100" s="164">
        <f t="shared" si="49"/>
        <v>1</v>
      </c>
      <c r="J100" s="230">
        <v>2.4E-2</v>
      </c>
      <c r="K100" s="226">
        <f t="shared" si="52"/>
        <v>4.2628774422735347</v>
      </c>
      <c r="L100" s="160">
        <f t="shared" si="53"/>
        <v>4.2628774422735347</v>
      </c>
      <c r="M100" s="226">
        <f t="shared" si="47"/>
        <v>1</v>
      </c>
    </row>
    <row r="101" spans="1:13" ht="16.25" thickBot="1" x14ac:dyDescent="0.9">
      <c r="A101" s="225" t="s">
        <v>278</v>
      </c>
      <c r="B101" s="157" t="s">
        <v>221</v>
      </c>
      <c r="C101" s="187">
        <f>C92+C88</f>
        <v>0.22892999999999999</v>
      </c>
      <c r="D101" s="187">
        <f>D92+D88</f>
        <v>0.34800000000000003</v>
      </c>
      <c r="E101" s="187">
        <f>E92+E88</f>
        <v>0</v>
      </c>
      <c r="F101" s="164">
        <f t="shared" si="48"/>
        <v>0</v>
      </c>
      <c r="G101" s="187">
        <f>G95+G92+G88</f>
        <v>1.8250000000000002</v>
      </c>
      <c r="H101" s="187">
        <f>H95+H92+H88</f>
        <v>9.1889099999999999</v>
      </c>
      <c r="I101" s="164">
        <f t="shared" si="49"/>
        <v>5.0350191780821909</v>
      </c>
      <c r="J101" s="187">
        <f>J95+J92+J88</f>
        <v>9.35</v>
      </c>
      <c r="K101" s="226">
        <f t="shared" si="52"/>
        <v>40.138513956231165</v>
      </c>
      <c r="L101" s="160">
        <f t="shared" si="53"/>
        <v>40.842178831957369</v>
      </c>
      <c r="M101" s="226">
        <f t="shared" si="47"/>
        <v>1.0175309149833875</v>
      </c>
    </row>
    <row r="102" spans="1:13" ht="16.25" thickBot="1" x14ac:dyDescent="0.9">
      <c r="A102" s="150" t="s">
        <v>279</v>
      </c>
      <c r="B102" s="208"/>
      <c r="C102" s="209"/>
      <c r="D102" s="209"/>
      <c r="E102" s="209"/>
      <c r="F102" s="209"/>
      <c r="G102" s="209"/>
      <c r="H102" s="209"/>
      <c r="I102" s="209"/>
      <c r="J102" s="209"/>
      <c r="K102" s="210"/>
      <c r="L102" s="155"/>
      <c r="M102" s="210"/>
    </row>
    <row r="103" spans="1:13" ht="16.25" thickBot="1" x14ac:dyDescent="0.9">
      <c r="A103" s="237" t="s">
        <v>280</v>
      </c>
      <c r="B103" s="157" t="s">
        <v>281</v>
      </c>
      <c r="C103" s="232">
        <f>SUM(C104:C106)</f>
        <v>55.664000000000001</v>
      </c>
      <c r="D103" s="232"/>
      <c r="E103" s="232"/>
      <c r="F103" s="164" t="e">
        <f t="shared" si="48"/>
        <v>#DIV/0!</v>
      </c>
      <c r="G103" s="232">
        <f t="shared" ref="G103:J103" si="62">SUM(G104:G106)</f>
        <v>327.7</v>
      </c>
      <c r="H103" s="232">
        <f t="shared" si="62"/>
        <v>327.7</v>
      </c>
      <c r="I103" s="164">
        <f t="shared" si="49"/>
        <v>1</v>
      </c>
      <c r="J103" s="238">
        <f t="shared" si="62"/>
        <v>335.5</v>
      </c>
      <c r="K103" s="226">
        <f>H103/C103</f>
        <v>5.8871083644725495</v>
      </c>
      <c r="L103" s="160">
        <f t="shared" si="53"/>
        <v>6.0272348375970104</v>
      </c>
      <c r="M103" s="226">
        <f t="shared" si="47"/>
        <v>1.023802258162954</v>
      </c>
    </row>
    <row r="104" spans="1:13" ht="16" thickBot="1" x14ac:dyDescent="0.9">
      <c r="A104" s="156" t="s">
        <v>282</v>
      </c>
      <c r="B104" s="157" t="s">
        <v>281</v>
      </c>
      <c r="C104" s="187">
        <v>11.804</v>
      </c>
      <c r="D104" s="187"/>
      <c r="E104" s="187"/>
      <c r="F104" s="164" t="e">
        <f t="shared" si="48"/>
        <v>#DIV/0!</v>
      </c>
      <c r="G104" s="239">
        <v>113.5</v>
      </c>
      <c r="H104" s="239">
        <v>113.5</v>
      </c>
      <c r="I104" s="164">
        <f t="shared" si="49"/>
        <v>1</v>
      </c>
      <c r="J104" s="240">
        <v>114.6</v>
      </c>
      <c r="K104" s="226">
        <f>H104/C104</f>
        <v>9.615384615384615</v>
      </c>
      <c r="L104" s="160">
        <f t="shared" si="53"/>
        <v>9.7085733649610297</v>
      </c>
      <c r="M104" s="226">
        <f t="shared" si="47"/>
        <v>1.0096916299559471</v>
      </c>
    </row>
    <row r="105" spans="1:13" ht="16" thickBot="1" x14ac:dyDescent="0.9">
      <c r="A105" s="156" t="s">
        <v>283</v>
      </c>
      <c r="B105" s="157" t="s">
        <v>281</v>
      </c>
      <c r="C105" s="187">
        <v>43.86</v>
      </c>
      <c r="D105" s="187"/>
      <c r="E105" s="187"/>
      <c r="F105" s="164" t="e">
        <f t="shared" si="48"/>
        <v>#DIV/0!</v>
      </c>
      <c r="G105" s="239">
        <v>202.2</v>
      </c>
      <c r="H105" s="239">
        <v>202.2</v>
      </c>
      <c r="I105" s="164">
        <f t="shared" si="49"/>
        <v>1</v>
      </c>
      <c r="J105" s="240">
        <v>206.9</v>
      </c>
      <c r="K105" s="226">
        <f>H105/C105</f>
        <v>4.6101231190150473</v>
      </c>
      <c r="L105" s="160">
        <f t="shared" si="53"/>
        <v>4.7172822617419063</v>
      </c>
      <c r="M105" s="226">
        <f t="shared" si="47"/>
        <v>1.02324431256182</v>
      </c>
    </row>
    <row r="106" spans="1:13" ht="16" thickBot="1" x14ac:dyDescent="0.9">
      <c r="A106" s="156" t="s">
        <v>284</v>
      </c>
      <c r="B106" s="157" t="s">
        <v>281</v>
      </c>
      <c r="C106" s="232"/>
      <c r="D106" s="232"/>
      <c r="E106" s="232"/>
      <c r="F106" s="164" t="e">
        <f t="shared" si="48"/>
        <v>#DIV/0!</v>
      </c>
      <c r="G106" s="239">
        <v>12</v>
      </c>
      <c r="H106" s="239">
        <v>12</v>
      </c>
      <c r="I106" s="164">
        <f t="shared" si="49"/>
        <v>1</v>
      </c>
      <c r="J106" s="240">
        <v>14</v>
      </c>
      <c r="K106" s="226" t="e">
        <f>H106/C106</f>
        <v>#DIV/0!</v>
      </c>
      <c r="L106" s="160" t="e">
        <f t="shared" si="53"/>
        <v>#DIV/0!</v>
      </c>
      <c r="M106" s="226">
        <f t="shared" si="47"/>
        <v>1.1666666666666667</v>
      </c>
    </row>
    <row r="107" spans="1:13" ht="16.25" thickBot="1" x14ac:dyDescent="0.9">
      <c r="A107" s="241" t="s">
        <v>285</v>
      </c>
      <c r="B107" s="157" t="s">
        <v>221</v>
      </c>
      <c r="C107" s="187">
        <f>C101</f>
        <v>0.22892999999999999</v>
      </c>
      <c r="D107" s="187">
        <f t="shared" ref="D107:E107" si="63">D101</f>
        <v>0.34800000000000003</v>
      </c>
      <c r="E107" s="187">
        <f t="shared" si="63"/>
        <v>0</v>
      </c>
      <c r="F107" s="164">
        <f t="shared" si="48"/>
        <v>0</v>
      </c>
      <c r="G107" s="187">
        <f t="shared" ref="G107:J107" si="64">G101</f>
        <v>1.8250000000000002</v>
      </c>
      <c r="H107" s="187">
        <f t="shared" si="64"/>
        <v>9.1889099999999999</v>
      </c>
      <c r="I107" s="164">
        <f t="shared" si="49"/>
        <v>5.0350191780821909</v>
      </c>
      <c r="J107" s="232">
        <f t="shared" si="64"/>
        <v>9.35</v>
      </c>
      <c r="K107" s="226">
        <f>H107/C107</f>
        <v>40.138513956231165</v>
      </c>
      <c r="L107" s="160">
        <f t="shared" si="53"/>
        <v>40.842178831957369</v>
      </c>
      <c r="M107" s="226">
        <f t="shared" si="47"/>
        <v>1.0175309149833875</v>
      </c>
    </row>
    <row r="108" spans="1:13" ht="16.25" thickBot="1" x14ac:dyDescent="0.9">
      <c r="A108" s="150" t="s">
        <v>286</v>
      </c>
      <c r="B108" s="208"/>
      <c r="C108" s="209"/>
      <c r="D108" s="209"/>
      <c r="E108" s="209"/>
      <c r="F108" s="209"/>
      <c r="G108" s="209"/>
      <c r="H108" s="209"/>
      <c r="I108" s="209"/>
      <c r="J108" s="209"/>
      <c r="K108" s="210"/>
      <c r="L108" s="155"/>
      <c r="M108" s="210"/>
    </row>
    <row r="109" spans="1:13" ht="16" thickBot="1" x14ac:dyDescent="0.9">
      <c r="A109" s="156" t="s">
        <v>287</v>
      </c>
      <c r="B109" s="157" t="s">
        <v>288</v>
      </c>
      <c r="C109" s="232">
        <v>4107.2299999999996</v>
      </c>
      <c r="D109" s="232"/>
      <c r="E109" s="232"/>
      <c r="F109" s="164" t="e">
        <f t="shared" si="48"/>
        <v>#DIV/0!</v>
      </c>
      <c r="G109" s="232">
        <v>5145.6099999999997</v>
      </c>
      <c r="H109" s="232">
        <v>4821.1699999999992</v>
      </c>
      <c r="I109" s="164">
        <f t="shared" si="49"/>
        <v>0.93694819467468371</v>
      </c>
      <c r="J109" s="238">
        <v>4917.5933999999988</v>
      </c>
      <c r="K109" s="226">
        <f t="shared" ref="K109:K120" si="65">H109/C109</f>
        <v>1.173825181448324</v>
      </c>
      <c r="L109" s="160">
        <f t="shared" si="53"/>
        <v>1.1973016850772904</v>
      </c>
      <c r="M109" s="226">
        <f t="shared" si="47"/>
        <v>1.02</v>
      </c>
    </row>
    <row r="110" spans="1:13" ht="16" thickBot="1" x14ac:dyDescent="0.9">
      <c r="A110" s="156" t="s">
        <v>289</v>
      </c>
      <c r="B110" s="157" t="s">
        <v>290</v>
      </c>
      <c r="C110" s="232">
        <v>129.08000000000001</v>
      </c>
      <c r="D110" s="232"/>
      <c r="E110" s="232"/>
      <c r="F110" s="164" t="e">
        <f t="shared" si="48"/>
        <v>#DIV/0!</v>
      </c>
      <c r="G110" s="232">
        <v>207</v>
      </c>
      <c r="H110" s="232">
        <v>182.04000000000002</v>
      </c>
      <c r="I110" s="164">
        <f t="shared" si="49"/>
        <v>0.87942028985507259</v>
      </c>
      <c r="J110" s="238">
        <v>185.68080000000003</v>
      </c>
      <c r="K110" s="226">
        <f t="shared" si="65"/>
        <v>1.4102881933684537</v>
      </c>
      <c r="L110" s="160">
        <f t="shared" si="53"/>
        <v>1.4384939572358229</v>
      </c>
      <c r="M110" s="226">
        <f t="shared" si="47"/>
        <v>1.02</v>
      </c>
    </row>
    <row r="111" spans="1:13" ht="16" thickBot="1" x14ac:dyDescent="0.9">
      <c r="A111" s="156" t="s">
        <v>291</v>
      </c>
      <c r="B111" s="157" t="s">
        <v>290</v>
      </c>
      <c r="C111" s="232"/>
      <c r="D111" s="232"/>
      <c r="E111" s="232"/>
      <c r="F111" s="164" t="e">
        <f t="shared" si="48"/>
        <v>#DIV/0!</v>
      </c>
      <c r="G111" s="232"/>
      <c r="H111" s="232"/>
      <c r="I111" s="164" t="e">
        <f t="shared" si="49"/>
        <v>#DIV/0!</v>
      </c>
      <c r="J111" s="238"/>
      <c r="K111" s="226" t="e">
        <f t="shared" si="65"/>
        <v>#DIV/0!</v>
      </c>
      <c r="L111" s="160" t="e">
        <f t="shared" si="53"/>
        <v>#DIV/0!</v>
      </c>
      <c r="M111" s="226" t="e">
        <f t="shared" si="47"/>
        <v>#DIV/0!</v>
      </c>
    </row>
    <row r="112" spans="1:13" ht="16" thickBot="1" x14ac:dyDescent="0.9">
      <c r="A112" s="156" t="s">
        <v>292</v>
      </c>
      <c r="B112" s="157" t="s">
        <v>290</v>
      </c>
      <c r="C112" s="232">
        <v>93.69</v>
      </c>
      <c r="D112" s="232"/>
      <c r="E112" s="232"/>
      <c r="F112" s="164" t="e">
        <f t="shared" si="48"/>
        <v>#DIV/0!</v>
      </c>
      <c r="G112" s="232">
        <v>87.02</v>
      </c>
      <c r="H112" s="232">
        <v>84.99</v>
      </c>
      <c r="I112" s="164">
        <f t="shared" si="49"/>
        <v>0.97667202941852449</v>
      </c>
      <c r="J112" s="238">
        <v>86.689799999999991</v>
      </c>
      <c r="K112" s="226">
        <f t="shared" si="65"/>
        <v>0.90714056996477743</v>
      </c>
      <c r="L112" s="160">
        <f t="shared" si="53"/>
        <v>0.92528338136407295</v>
      </c>
      <c r="M112" s="226">
        <f t="shared" si="47"/>
        <v>1.02</v>
      </c>
    </row>
    <row r="113" spans="1:13" ht="16" thickBot="1" x14ac:dyDescent="0.9">
      <c r="A113" s="156" t="s">
        <v>293</v>
      </c>
      <c r="B113" s="157" t="s">
        <v>290</v>
      </c>
      <c r="C113" s="232">
        <v>64.84</v>
      </c>
      <c r="D113" s="232"/>
      <c r="E113" s="232"/>
      <c r="F113" s="164" t="e">
        <f t="shared" si="48"/>
        <v>#DIV/0!</v>
      </c>
      <c r="G113" s="232">
        <v>101.76</v>
      </c>
      <c r="H113" s="232">
        <v>84.640000000000015</v>
      </c>
      <c r="I113" s="164">
        <f t="shared" si="49"/>
        <v>0.83176100628930827</v>
      </c>
      <c r="J113" s="238">
        <v>86.33280000000002</v>
      </c>
      <c r="K113" s="226">
        <f t="shared" si="65"/>
        <v>1.3053670573719927</v>
      </c>
      <c r="L113" s="160">
        <f t="shared" si="53"/>
        <v>1.3314743985194326</v>
      </c>
      <c r="M113" s="226">
        <f t="shared" si="47"/>
        <v>1.02</v>
      </c>
    </row>
    <row r="114" spans="1:13" ht="16" hidden="1" thickBot="1" x14ac:dyDescent="0.9">
      <c r="A114" s="156" t="s">
        <v>294</v>
      </c>
      <c r="B114" s="157" t="s">
        <v>290</v>
      </c>
      <c r="C114" s="232"/>
      <c r="D114" s="232"/>
      <c r="E114" s="232"/>
      <c r="F114" s="164" t="e">
        <f t="shared" si="48"/>
        <v>#DIV/0!</v>
      </c>
      <c r="G114" s="232"/>
      <c r="H114" s="232"/>
      <c r="I114" s="164" t="e">
        <f t="shared" si="49"/>
        <v>#DIV/0!</v>
      </c>
      <c r="J114" s="238"/>
      <c r="K114" s="226" t="e">
        <f t="shared" si="65"/>
        <v>#DIV/0!</v>
      </c>
      <c r="L114" s="160" t="e">
        <f t="shared" si="53"/>
        <v>#DIV/0!</v>
      </c>
      <c r="M114" s="226" t="e">
        <f t="shared" si="47"/>
        <v>#DIV/0!</v>
      </c>
    </row>
    <row r="115" spans="1:13" ht="16" hidden="1" thickBot="1" x14ac:dyDescent="0.9">
      <c r="A115" s="156" t="s">
        <v>295</v>
      </c>
      <c r="B115" s="157" t="s">
        <v>290</v>
      </c>
      <c r="C115" s="232"/>
      <c r="D115" s="232"/>
      <c r="E115" s="232"/>
      <c r="F115" s="164" t="e">
        <f t="shared" si="48"/>
        <v>#DIV/0!</v>
      </c>
      <c r="G115" s="232"/>
      <c r="H115" s="232"/>
      <c r="I115" s="164" t="e">
        <f t="shared" si="49"/>
        <v>#DIV/0!</v>
      </c>
      <c r="J115" s="238"/>
      <c r="K115" s="226" t="e">
        <f t="shared" si="65"/>
        <v>#DIV/0!</v>
      </c>
      <c r="L115" s="160" t="e">
        <f t="shared" si="53"/>
        <v>#DIV/0!</v>
      </c>
      <c r="M115" s="226" t="e">
        <f t="shared" si="47"/>
        <v>#DIV/0!</v>
      </c>
    </row>
    <row r="116" spans="1:13" ht="16" hidden="1" thickBot="1" x14ac:dyDescent="0.9">
      <c r="A116" s="156" t="s">
        <v>296</v>
      </c>
      <c r="B116" s="157" t="s">
        <v>290</v>
      </c>
      <c r="C116" s="232"/>
      <c r="D116" s="232"/>
      <c r="E116" s="232"/>
      <c r="F116" s="164" t="e">
        <f t="shared" si="48"/>
        <v>#DIV/0!</v>
      </c>
      <c r="G116" s="232"/>
      <c r="H116" s="232"/>
      <c r="I116" s="164" t="e">
        <f t="shared" si="49"/>
        <v>#DIV/0!</v>
      </c>
      <c r="J116" s="238"/>
      <c r="K116" s="226" t="e">
        <f t="shared" si="65"/>
        <v>#DIV/0!</v>
      </c>
      <c r="L116" s="160" t="e">
        <f t="shared" si="53"/>
        <v>#DIV/0!</v>
      </c>
      <c r="M116" s="226" t="e">
        <f t="shared" si="47"/>
        <v>#DIV/0!</v>
      </c>
    </row>
    <row r="117" spans="1:13" ht="16" thickBot="1" x14ac:dyDescent="0.9">
      <c r="A117" s="156" t="s">
        <v>297</v>
      </c>
      <c r="B117" s="157" t="s">
        <v>290</v>
      </c>
      <c r="C117" s="232">
        <v>18.149999999999999</v>
      </c>
      <c r="D117" s="232"/>
      <c r="E117" s="232"/>
      <c r="F117" s="164" t="e">
        <f t="shared" si="48"/>
        <v>#DIV/0!</v>
      </c>
      <c r="G117" s="232">
        <v>23.87</v>
      </c>
      <c r="H117" s="232">
        <v>22.720000000000002</v>
      </c>
      <c r="I117" s="164">
        <f t="shared" si="49"/>
        <v>0.95182237117720991</v>
      </c>
      <c r="J117" s="238">
        <v>23.174400000000002</v>
      </c>
      <c r="K117" s="226">
        <f t="shared" si="65"/>
        <v>1.2517906336088156</v>
      </c>
      <c r="L117" s="160">
        <f t="shared" si="53"/>
        <v>1.276826446280992</v>
      </c>
      <c r="M117" s="226">
        <f t="shared" si="47"/>
        <v>1.02</v>
      </c>
    </row>
    <row r="118" spans="1:13" ht="16" hidden="1" thickBot="1" x14ac:dyDescent="0.9">
      <c r="A118" s="156" t="s">
        <v>298</v>
      </c>
      <c r="B118" s="157" t="s">
        <v>290</v>
      </c>
      <c r="C118" s="232"/>
      <c r="D118" s="232"/>
      <c r="E118" s="232"/>
      <c r="F118" s="164" t="e">
        <f t="shared" si="48"/>
        <v>#DIV/0!</v>
      </c>
      <c r="G118" s="232"/>
      <c r="H118" s="232"/>
      <c r="I118" s="164" t="e">
        <f t="shared" si="49"/>
        <v>#DIV/0!</v>
      </c>
      <c r="J118" s="238"/>
      <c r="K118" s="226" t="e">
        <f t="shared" si="65"/>
        <v>#DIV/0!</v>
      </c>
      <c r="L118" s="160" t="e">
        <f t="shared" si="53"/>
        <v>#DIV/0!</v>
      </c>
      <c r="M118" s="226" t="e">
        <f t="shared" si="47"/>
        <v>#DIV/0!</v>
      </c>
    </row>
    <row r="119" spans="1:13" ht="16" hidden="1" thickBot="1" x14ac:dyDescent="0.9">
      <c r="A119" s="156" t="s">
        <v>299</v>
      </c>
      <c r="B119" s="157" t="s">
        <v>290</v>
      </c>
      <c r="C119" s="232"/>
      <c r="D119" s="232"/>
      <c r="E119" s="232"/>
      <c r="F119" s="164" t="e">
        <f t="shared" si="48"/>
        <v>#DIV/0!</v>
      </c>
      <c r="G119" s="232"/>
      <c r="H119" s="232"/>
      <c r="I119" s="164" t="e">
        <f t="shared" si="49"/>
        <v>#DIV/0!</v>
      </c>
      <c r="J119" s="238"/>
      <c r="K119" s="226" t="e">
        <f t="shared" si="65"/>
        <v>#DIV/0!</v>
      </c>
      <c r="L119" s="160" t="e">
        <f t="shared" si="53"/>
        <v>#DIV/0!</v>
      </c>
      <c r="M119" s="226" t="e">
        <f t="shared" si="47"/>
        <v>#DIV/0!</v>
      </c>
    </row>
    <row r="120" spans="1:13" ht="18" hidden="1" thickBot="1" x14ac:dyDescent="0.9">
      <c r="A120" s="184" t="s">
        <v>300</v>
      </c>
      <c r="B120" s="185" t="s">
        <v>301</v>
      </c>
      <c r="C120" s="242"/>
      <c r="D120" s="242"/>
      <c r="E120" s="242"/>
      <c r="F120" s="164" t="e">
        <f t="shared" si="48"/>
        <v>#DIV/0!</v>
      </c>
      <c r="G120" s="242"/>
      <c r="H120" s="242"/>
      <c r="I120" s="164" t="e">
        <f t="shared" si="49"/>
        <v>#DIV/0!</v>
      </c>
      <c r="J120" s="238"/>
      <c r="K120" s="226" t="e">
        <f t="shared" si="65"/>
        <v>#DIV/0!</v>
      </c>
      <c r="L120" s="160" t="e">
        <f t="shared" si="53"/>
        <v>#DIV/0!</v>
      </c>
      <c r="M120" s="226" t="e">
        <f t="shared" si="47"/>
        <v>#DIV/0!</v>
      </c>
    </row>
    <row r="121" spans="1:13" ht="16.25" thickBot="1" x14ac:dyDescent="0.9">
      <c r="A121" s="150" t="s">
        <v>302</v>
      </c>
      <c r="B121" s="208"/>
      <c r="C121" s="209"/>
      <c r="D121" s="209"/>
      <c r="E121" s="209"/>
      <c r="F121" s="209"/>
      <c r="G121" s="209"/>
      <c r="H121" s="209"/>
      <c r="I121" s="209"/>
      <c r="J121" s="209"/>
      <c r="K121" s="210"/>
      <c r="L121" s="155"/>
      <c r="M121" s="210"/>
    </row>
    <row r="122" spans="1:13" ht="16" thickBot="1" x14ac:dyDescent="0.9">
      <c r="A122" s="156" t="s">
        <v>287</v>
      </c>
      <c r="B122" s="157" t="s">
        <v>303</v>
      </c>
      <c r="C122" s="190">
        <f>C109/C21</f>
        <v>14.662656408974883</v>
      </c>
      <c r="D122" s="190">
        <f>D109/D21</f>
        <v>0</v>
      </c>
      <c r="E122" s="190">
        <f>E109/E21</f>
        <v>0</v>
      </c>
      <c r="F122" s="164" t="e">
        <f t="shared" si="48"/>
        <v>#DIV/0!</v>
      </c>
      <c r="G122" s="190">
        <f>G109/G21</f>
        <v>15.111923641703376</v>
      </c>
      <c r="H122" s="190">
        <f>H109/H21</f>
        <v>14.159089574155651</v>
      </c>
      <c r="I122" s="164">
        <f t="shared" si="49"/>
        <v>0.93694819467468382</v>
      </c>
      <c r="J122" s="190">
        <f>J109/J21</f>
        <v>13.379204200731859</v>
      </c>
      <c r="K122" s="226">
        <f>H122/C122</f>
        <v>0.96565650719940466</v>
      </c>
      <c r="L122" s="160">
        <f t="shared" si="53"/>
        <v>0.91246796129946595</v>
      </c>
      <c r="M122" s="226">
        <f t="shared" ref="M122:M124" si="66">J122/H122</f>
        <v>0.94491980791990304</v>
      </c>
    </row>
    <row r="123" spans="1:13" ht="16" hidden="1" thickBot="1" x14ac:dyDescent="0.9">
      <c r="A123" s="156" t="s">
        <v>304</v>
      </c>
      <c r="B123" s="157" t="s">
        <v>305</v>
      </c>
      <c r="C123" s="232"/>
      <c r="D123" s="232"/>
      <c r="E123" s="232"/>
      <c r="F123" s="164" t="e">
        <f t="shared" si="48"/>
        <v>#DIV/0!</v>
      </c>
      <c r="G123" s="232"/>
      <c r="H123" s="232"/>
      <c r="I123" s="164" t="e">
        <f t="shared" si="49"/>
        <v>#DIV/0!</v>
      </c>
      <c r="J123" s="238"/>
      <c r="K123" s="226" t="e">
        <f>H123/C123</f>
        <v>#DIV/0!</v>
      </c>
      <c r="L123" s="160" t="e">
        <f t="shared" si="53"/>
        <v>#DIV/0!</v>
      </c>
      <c r="M123" s="226" t="e">
        <f t="shared" si="66"/>
        <v>#DIV/0!</v>
      </c>
    </row>
    <row r="124" spans="1:13" ht="16" hidden="1" thickBot="1" x14ac:dyDescent="0.9">
      <c r="A124" s="156" t="s">
        <v>306</v>
      </c>
      <c r="B124" s="157" t="s">
        <v>305</v>
      </c>
      <c r="C124" s="232"/>
      <c r="D124" s="232"/>
      <c r="E124" s="232"/>
      <c r="F124" s="164" t="e">
        <f t="shared" si="48"/>
        <v>#DIV/0!</v>
      </c>
      <c r="G124" s="232"/>
      <c r="H124" s="232"/>
      <c r="I124" s="164" t="e">
        <f t="shared" si="49"/>
        <v>#DIV/0!</v>
      </c>
      <c r="J124" s="238"/>
      <c r="K124" s="226" t="e">
        <f>H124/C124</f>
        <v>#DIV/0!</v>
      </c>
      <c r="L124" s="160" t="e">
        <f t="shared" si="53"/>
        <v>#DIV/0!</v>
      </c>
      <c r="M124" s="226" t="e">
        <f t="shared" si="66"/>
        <v>#DIV/0!</v>
      </c>
    </row>
    <row r="125" spans="1:13" x14ac:dyDescent="0.75">
      <c r="A125" s="243" t="s">
        <v>307</v>
      </c>
      <c r="B125" s="356" t="s">
        <v>308</v>
      </c>
      <c r="C125" s="357"/>
      <c r="D125" s="244"/>
      <c r="E125" s="244"/>
      <c r="F125" s="244"/>
      <c r="G125" s="356" t="s">
        <v>309</v>
      </c>
      <c r="H125" s="357"/>
      <c r="I125" s="357"/>
      <c r="J125" s="357"/>
      <c r="K125" s="362"/>
      <c r="L125" s="244"/>
      <c r="M125" s="245" t="s">
        <v>310</v>
      </c>
    </row>
    <row r="126" spans="1:13" x14ac:dyDescent="0.75">
      <c r="A126" s="365"/>
      <c r="B126" s="358"/>
      <c r="C126" s="359"/>
      <c r="D126" s="246"/>
      <c r="E126" s="246"/>
      <c r="F126" s="246"/>
      <c r="G126" s="358"/>
      <c r="H126" s="359"/>
      <c r="I126" s="359"/>
      <c r="J126" s="359"/>
      <c r="K126" s="363"/>
      <c r="L126" s="247" t="s">
        <v>311</v>
      </c>
      <c r="M126" s="248" t="s">
        <v>312</v>
      </c>
    </row>
    <row r="127" spans="1:13" ht="15.5" thickBot="1" x14ac:dyDescent="0.9">
      <c r="A127" s="366"/>
      <c r="B127" s="360"/>
      <c r="C127" s="361"/>
      <c r="D127" s="249"/>
      <c r="E127" s="249"/>
      <c r="F127" s="249"/>
      <c r="G127" s="360"/>
      <c r="H127" s="361"/>
      <c r="I127" s="361"/>
      <c r="J127" s="361"/>
      <c r="K127" s="364"/>
      <c r="L127" s="250"/>
      <c r="M127" s="251"/>
    </row>
    <row r="128" spans="1:13" ht="16" x14ac:dyDescent="0.8">
      <c r="A128" s="137"/>
      <c r="B128" s="137"/>
      <c r="C128" s="137"/>
      <c r="D128" s="137"/>
      <c r="E128" s="137"/>
      <c r="F128" s="137"/>
      <c r="G128" s="137"/>
      <c r="H128" s="137"/>
      <c r="I128" s="137"/>
      <c r="J128" s="142">
        <f>1760913.2-J50</f>
        <v>-154460.18050000002</v>
      </c>
      <c r="K128" s="137"/>
      <c r="L128" s="137"/>
      <c r="M128" s="137"/>
    </row>
    <row r="129" spans="1:13" ht="15" customHeight="1" x14ac:dyDescent="0.8">
      <c r="A129" s="137"/>
      <c r="B129" s="137"/>
      <c r="C129" s="137"/>
      <c r="D129" s="137"/>
      <c r="E129" s="137"/>
      <c r="F129" s="137"/>
      <c r="G129" s="137"/>
      <c r="H129" s="137"/>
      <c r="I129" s="137"/>
      <c r="J129" s="142">
        <f>1563421.9-J51</f>
        <v>-244722.54131986783</v>
      </c>
      <c r="K129" s="137"/>
      <c r="L129" s="137"/>
      <c r="M129" s="137"/>
    </row>
  </sheetData>
  <mergeCells count="11">
    <mergeCell ref="B125:C127"/>
    <mergeCell ref="G125:K127"/>
    <mergeCell ref="A126:A127"/>
    <mergeCell ref="G2:M2"/>
    <mergeCell ref="A5:A7"/>
    <mergeCell ref="B5:B7"/>
    <mergeCell ref="C5:C7"/>
    <mergeCell ref="D5:F6"/>
    <mergeCell ref="G5:I6"/>
    <mergeCell ref="J5:J7"/>
    <mergeCell ref="K5:M6"/>
  </mergeCells>
  <pageMargins left="0.51181102362204722" right="0.51181102362204722" top="0.35433070866141736" bottom="0.35433070866141736" header="0.11811023622047245" footer="0.11811023622047245"/>
  <pageSetup scale="60" orientation="landscape" r:id="rId1"/>
  <rowBreaks count="1" manualBreakCount="1">
    <brk id="66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439"/>
  <sheetViews>
    <sheetView workbookViewId="0">
      <selection activeCell="F12" sqref="F12"/>
    </sheetView>
  </sheetViews>
  <sheetFormatPr baseColWidth="10" defaultRowHeight="13" x14ac:dyDescent="0.6"/>
  <cols>
    <col min="1" max="1" width="52.1328125" style="27" customWidth="1"/>
    <col min="2" max="2" width="11.40625" style="27"/>
    <col min="3" max="3" width="13.26953125" style="28" customWidth="1"/>
    <col min="4" max="5" width="11.40625" style="27"/>
    <col min="6" max="6" width="11.86328125" style="27" bestFit="1" customWidth="1"/>
    <col min="7" max="7" width="11.40625" style="27"/>
    <col min="8" max="8" width="11.26953125" style="27" customWidth="1"/>
    <col min="9" max="9" width="10.7265625" style="27" bestFit="1" customWidth="1"/>
    <col min="10" max="10" width="9.7265625" style="28" bestFit="1" customWidth="1"/>
    <col min="11" max="11" width="11" style="28" customWidth="1"/>
    <col min="12" max="12" width="10.7265625" style="28" bestFit="1" customWidth="1"/>
    <col min="13" max="13" width="46.7265625" style="27" customWidth="1"/>
    <col min="14" max="14" width="11.40625" style="27" customWidth="1"/>
    <col min="15" max="17" width="14.54296875" style="27" bestFit="1" customWidth="1"/>
    <col min="18" max="18" width="15.86328125" style="27" bestFit="1" customWidth="1"/>
    <col min="19" max="19" width="14.7265625" style="27" customWidth="1"/>
    <col min="20" max="20" width="21.7265625" style="27" bestFit="1" customWidth="1"/>
    <col min="21" max="255" width="11.40625" style="27"/>
    <col min="256" max="256" width="52.1328125" style="27" customWidth="1"/>
    <col min="257" max="257" width="11.40625" style="27"/>
    <col min="258" max="258" width="13.26953125" style="27" customWidth="1"/>
    <col min="259" max="260" width="11.40625" style="27"/>
    <col min="261" max="261" width="11.86328125" style="27" bestFit="1" customWidth="1"/>
    <col min="262" max="262" width="11.40625" style="27"/>
    <col min="263" max="263" width="11.26953125" style="27" customWidth="1"/>
    <col min="264" max="264" width="10.7265625" style="27" bestFit="1" customWidth="1"/>
    <col min="265" max="265" width="9.7265625" style="27" bestFit="1" customWidth="1"/>
    <col min="266" max="266" width="11" style="27" customWidth="1"/>
    <col min="267" max="267" width="10.7265625" style="27" bestFit="1" customWidth="1"/>
    <col min="268" max="268" width="11.40625" style="27"/>
    <col min="269" max="269" width="0" style="27" hidden="1" customWidth="1"/>
    <col min="270" max="511" width="11.40625" style="27"/>
    <col min="512" max="512" width="52.1328125" style="27" customWidth="1"/>
    <col min="513" max="513" width="11.40625" style="27"/>
    <col min="514" max="514" width="13.26953125" style="27" customWidth="1"/>
    <col min="515" max="516" width="11.40625" style="27"/>
    <col min="517" max="517" width="11.86328125" style="27" bestFit="1" customWidth="1"/>
    <col min="518" max="518" width="11.40625" style="27"/>
    <col min="519" max="519" width="11.26953125" style="27" customWidth="1"/>
    <col min="520" max="520" width="10.7265625" style="27" bestFit="1" customWidth="1"/>
    <col min="521" max="521" width="9.7265625" style="27" bestFit="1" customWidth="1"/>
    <col min="522" max="522" width="11" style="27" customWidth="1"/>
    <col min="523" max="523" width="10.7265625" style="27" bestFit="1" customWidth="1"/>
    <col min="524" max="524" width="11.40625" style="27"/>
    <col min="525" max="525" width="0" style="27" hidden="1" customWidth="1"/>
    <col min="526" max="767" width="11.40625" style="27"/>
    <col min="768" max="768" width="52.1328125" style="27" customWidth="1"/>
    <col min="769" max="769" width="11.40625" style="27"/>
    <col min="770" max="770" width="13.26953125" style="27" customWidth="1"/>
    <col min="771" max="772" width="11.40625" style="27"/>
    <col min="773" max="773" width="11.86328125" style="27" bestFit="1" customWidth="1"/>
    <col min="774" max="774" width="11.40625" style="27"/>
    <col min="775" max="775" width="11.26953125" style="27" customWidth="1"/>
    <col min="776" max="776" width="10.7265625" style="27" bestFit="1" customWidth="1"/>
    <col min="777" max="777" width="9.7265625" style="27" bestFit="1" customWidth="1"/>
    <col min="778" max="778" width="11" style="27" customWidth="1"/>
    <col min="779" max="779" width="10.7265625" style="27" bestFit="1" customWidth="1"/>
    <col min="780" max="780" width="11.40625" style="27"/>
    <col min="781" max="781" width="0" style="27" hidden="1" customWidth="1"/>
    <col min="782" max="1023" width="11.40625" style="27"/>
    <col min="1024" max="1024" width="52.1328125" style="27" customWidth="1"/>
    <col min="1025" max="1025" width="11.40625" style="27"/>
    <col min="1026" max="1026" width="13.26953125" style="27" customWidth="1"/>
    <col min="1027" max="1028" width="11.40625" style="27"/>
    <col min="1029" max="1029" width="11.86328125" style="27" bestFit="1" customWidth="1"/>
    <col min="1030" max="1030" width="11.40625" style="27"/>
    <col min="1031" max="1031" width="11.26953125" style="27" customWidth="1"/>
    <col min="1032" max="1032" width="10.7265625" style="27" bestFit="1" customWidth="1"/>
    <col min="1033" max="1033" width="9.7265625" style="27" bestFit="1" customWidth="1"/>
    <col min="1034" max="1034" width="11" style="27" customWidth="1"/>
    <col min="1035" max="1035" width="10.7265625" style="27" bestFit="1" customWidth="1"/>
    <col min="1036" max="1036" width="11.40625" style="27"/>
    <col min="1037" max="1037" width="0" style="27" hidden="1" customWidth="1"/>
    <col min="1038" max="1279" width="11.40625" style="27"/>
    <col min="1280" max="1280" width="52.1328125" style="27" customWidth="1"/>
    <col min="1281" max="1281" width="11.40625" style="27"/>
    <col min="1282" max="1282" width="13.26953125" style="27" customWidth="1"/>
    <col min="1283" max="1284" width="11.40625" style="27"/>
    <col min="1285" max="1285" width="11.86328125" style="27" bestFit="1" customWidth="1"/>
    <col min="1286" max="1286" width="11.40625" style="27"/>
    <col min="1287" max="1287" width="11.26953125" style="27" customWidth="1"/>
    <col min="1288" max="1288" width="10.7265625" style="27" bestFit="1" customWidth="1"/>
    <col min="1289" max="1289" width="9.7265625" style="27" bestFit="1" customWidth="1"/>
    <col min="1290" max="1290" width="11" style="27" customWidth="1"/>
    <col min="1291" max="1291" width="10.7265625" style="27" bestFit="1" customWidth="1"/>
    <col min="1292" max="1292" width="11.40625" style="27"/>
    <col min="1293" max="1293" width="0" style="27" hidden="1" customWidth="1"/>
    <col min="1294" max="1535" width="11.40625" style="27"/>
    <col min="1536" max="1536" width="52.1328125" style="27" customWidth="1"/>
    <col min="1537" max="1537" width="11.40625" style="27"/>
    <col min="1538" max="1538" width="13.26953125" style="27" customWidth="1"/>
    <col min="1539" max="1540" width="11.40625" style="27"/>
    <col min="1541" max="1541" width="11.86328125" style="27" bestFit="1" customWidth="1"/>
    <col min="1542" max="1542" width="11.40625" style="27"/>
    <col min="1543" max="1543" width="11.26953125" style="27" customWidth="1"/>
    <col min="1544" max="1544" width="10.7265625" style="27" bestFit="1" customWidth="1"/>
    <col min="1545" max="1545" width="9.7265625" style="27" bestFit="1" customWidth="1"/>
    <col min="1546" max="1546" width="11" style="27" customWidth="1"/>
    <col min="1547" max="1547" width="10.7265625" style="27" bestFit="1" customWidth="1"/>
    <col min="1548" max="1548" width="11.40625" style="27"/>
    <col min="1549" max="1549" width="0" style="27" hidden="1" customWidth="1"/>
    <col min="1550" max="1791" width="11.40625" style="27"/>
    <col min="1792" max="1792" width="52.1328125" style="27" customWidth="1"/>
    <col min="1793" max="1793" width="11.40625" style="27"/>
    <col min="1794" max="1794" width="13.26953125" style="27" customWidth="1"/>
    <col min="1795" max="1796" width="11.40625" style="27"/>
    <col min="1797" max="1797" width="11.86328125" style="27" bestFit="1" customWidth="1"/>
    <col min="1798" max="1798" width="11.40625" style="27"/>
    <col min="1799" max="1799" width="11.26953125" style="27" customWidth="1"/>
    <col min="1800" max="1800" width="10.7265625" style="27" bestFit="1" customWidth="1"/>
    <col min="1801" max="1801" width="9.7265625" style="27" bestFit="1" customWidth="1"/>
    <col min="1802" max="1802" width="11" style="27" customWidth="1"/>
    <col min="1803" max="1803" width="10.7265625" style="27" bestFit="1" customWidth="1"/>
    <col min="1804" max="1804" width="11.40625" style="27"/>
    <col min="1805" max="1805" width="0" style="27" hidden="1" customWidth="1"/>
    <col min="1806" max="2047" width="11.40625" style="27"/>
    <col min="2048" max="2048" width="52.1328125" style="27" customWidth="1"/>
    <col min="2049" max="2049" width="11.40625" style="27"/>
    <col min="2050" max="2050" width="13.26953125" style="27" customWidth="1"/>
    <col min="2051" max="2052" width="11.40625" style="27"/>
    <col min="2053" max="2053" width="11.86328125" style="27" bestFit="1" customWidth="1"/>
    <col min="2054" max="2054" width="11.40625" style="27"/>
    <col min="2055" max="2055" width="11.26953125" style="27" customWidth="1"/>
    <col min="2056" max="2056" width="10.7265625" style="27" bestFit="1" customWidth="1"/>
    <col min="2057" max="2057" width="9.7265625" style="27" bestFit="1" customWidth="1"/>
    <col min="2058" max="2058" width="11" style="27" customWidth="1"/>
    <col min="2059" max="2059" width="10.7265625" style="27" bestFit="1" customWidth="1"/>
    <col min="2060" max="2060" width="11.40625" style="27"/>
    <col min="2061" max="2061" width="0" style="27" hidden="1" customWidth="1"/>
    <col min="2062" max="2303" width="11.40625" style="27"/>
    <col min="2304" max="2304" width="52.1328125" style="27" customWidth="1"/>
    <col min="2305" max="2305" width="11.40625" style="27"/>
    <col min="2306" max="2306" width="13.26953125" style="27" customWidth="1"/>
    <col min="2307" max="2308" width="11.40625" style="27"/>
    <col min="2309" max="2309" width="11.86328125" style="27" bestFit="1" customWidth="1"/>
    <col min="2310" max="2310" width="11.40625" style="27"/>
    <col min="2311" max="2311" width="11.26953125" style="27" customWidth="1"/>
    <col min="2312" max="2312" width="10.7265625" style="27" bestFit="1" customWidth="1"/>
    <col min="2313" max="2313" width="9.7265625" style="27" bestFit="1" customWidth="1"/>
    <col min="2314" max="2314" width="11" style="27" customWidth="1"/>
    <col min="2315" max="2315" width="10.7265625" style="27" bestFit="1" customWidth="1"/>
    <col min="2316" max="2316" width="11.40625" style="27"/>
    <col min="2317" max="2317" width="0" style="27" hidden="1" customWidth="1"/>
    <col min="2318" max="2559" width="11.40625" style="27"/>
    <col min="2560" max="2560" width="52.1328125" style="27" customWidth="1"/>
    <col min="2561" max="2561" width="11.40625" style="27"/>
    <col min="2562" max="2562" width="13.26953125" style="27" customWidth="1"/>
    <col min="2563" max="2564" width="11.40625" style="27"/>
    <col min="2565" max="2565" width="11.86328125" style="27" bestFit="1" customWidth="1"/>
    <col min="2566" max="2566" width="11.40625" style="27"/>
    <col min="2567" max="2567" width="11.26953125" style="27" customWidth="1"/>
    <col min="2568" max="2568" width="10.7265625" style="27" bestFit="1" customWidth="1"/>
    <col min="2569" max="2569" width="9.7265625" style="27" bestFit="1" customWidth="1"/>
    <col min="2570" max="2570" width="11" style="27" customWidth="1"/>
    <col min="2571" max="2571" width="10.7265625" style="27" bestFit="1" customWidth="1"/>
    <col min="2572" max="2572" width="11.40625" style="27"/>
    <col min="2573" max="2573" width="0" style="27" hidden="1" customWidth="1"/>
    <col min="2574" max="2815" width="11.40625" style="27"/>
    <col min="2816" max="2816" width="52.1328125" style="27" customWidth="1"/>
    <col min="2817" max="2817" width="11.40625" style="27"/>
    <col min="2818" max="2818" width="13.26953125" style="27" customWidth="1"/>
    <col min="2819" max="2820" width="11.40625" style="27"/>
    <col min="2821" max="2821" width="11.86328125" style="27" bestFit="1" customWidth="1"/>
    <col min="2822" max="2822" width="11.40625" style="27"/>
    <col min="2823" max="2823" width="11.26953125" style="27" customWidth="1"/>
    <col min="2824" max="2824" width="10.7265625" style="27" bestFit="1" customWidth="1"/>
    <col min="2825" max="2825" width="9.7265625" style="27" bestFit="1" customWidth="1"/>
    <col min="2826" max="2826" width="11" style="27" customWidth="1"/>
    <col min="2827" max="2827" width="10.7265625" style="27" bestFit="1" customWidth="1"/>
    <col min="2828" max="2828" width="11.40625" style="27"/>
    <col min="2829" max="2829" width="0" style="27" hidden="1" customWidth="1"/>
    <col min="2830" max="3071" width="11.40625" style="27"/>
    <col min="3072" max="3072" width="52.1328125" style="27" customWidth="1"/>
    <col min="3073" max="3073" width="11.40625" style="27"/>
    <col min="3074" max="3074" width="13.26953125" style="27" customWidth="1"/>
    <col min="3075" max="3076" width="11.40625" style="27"/>
    <col min="3077" max="3077" width="11.86328125" style="27" bestFit="1" customWidth="1"/>
    <col min="3078" max="3078" width="11.40625" style="27"/>
    <col min="3079" max="3079" width="11.26953125" style="27" customWidth="1"/>
    <col min="3080" max="3080" width="10.7265625" style="27" bestFit="1" customWidth="1"/>
    <col min="3081" max="3081" width="9.7265625" style="27" bestFit="1" customWidth="1"/>
    <col min="3082" max="3082" width="11" style="27" customWidth="1"/>
    <col min="3083" max="3083" width="10.7265625" style="27" bestFit="1" customWidth="1"/>
    <col min="3084" max="3084" width="11.40625" style="27"/>
    <col min="3085" max="3085" width="0" style="27" hidden="1" customWidth="1"/>
    <col min="3086" max="3327" width="11.40625" style="27"/>
    <col min="3328" max="3328" width="52.1328125" style="27" customWidth="1"/>
    <col min="3329" max="3329" width="11.40625" style="27"/>
    <col min="3330" max="3330" width="13.26953125" style="27" customWidth="1"/>
    <col min="3331" max="3332" width="11.40625" style="27"/>
    <col min="3333" max="3333" width="11.86328125" style="27" bestFit="1" customWidth="1"/>
    <col min="3334" max="3334" width="11.40625" style="27"/>
    <col min="3335" max="3335" width="11.26953125" style="27" customWidth="1"/>
    <col min="3336" max="3336" width="10.7265625" style="27" bestFit="1" customWidth="1"/>
    <col min="3337" max="3337" width="9.7265625" style="27" bestFit="1" customWidth="1"/>
    <col min="3338" max="3338" width="11" style="27" customWidth="1"/>
    <col min="3339" max="3339" width="10.7265625" style="27" bestFit="1" customWidth="1"/>
    <col min="3340" max="3340" width="11.40625" style="27"/>
    <col min="3341" max="3341" width="0" style="27" hidden="1" customWidth="1"/>
    <col min="3342" max="3583" width="11.40625" style="27"/>
    <col min="3584" max="3584" width="52.1328125" style="27" customWidth="1"/>
    <col min="3585" max="3585" width="11.40625" style="27"/>
    <col min="3586" max="3586" width="13.26953125" style="27" customWidth="1"/>
    <col min="3587" max="3588" width="11.40625" style="27"/>
    <col min="3589" max="3589" width="11.86328125" style="27" bestFit="1" customWidth="1"/>
    <col min="3590" max="3590" width="11.40625" style="27"/>
    <col min="3591" max="3591" width="11.26953125" style="27" customWidth="1"/>
    <col min="3592" max="3592" width="10.7265625" style="27" bestFit="1" customWidth="1"/>
    <col min="3593" max="3593" width="9.7265625" style="27" bestFit="1" customWidth="1"/>
    <col min="3594" max="3594" width="11" style="27" customWidth="1"/>
    <col min="3595" max="3595" width="10.7265625" style="27" bestFit="1" customWidth="1"/>
    <col min="3596" max="3596" width="11.40625" style="27"/>
    <col min="3597" max="3597" width="0" style="27" hidden="1" customWidth="1"/>
    <col min="3598" max="3839" width="11.40625" style="27"/>
    <col min="3840" max="3840" width="52.1328125" style="27" customWidth="1"/>
    <col min="3841" max="3841" width="11.40625" style="27"/>
    <col min="3842" max="3842" width="13.26953125" style="27" customWidth="1"/>
    <col min="3843" max="3844" width="11.40625" style="27"/>
    <col min="3845" max="3845" width="11.86328125" style="27" bestFit="1" customWidth="1"/>
    <col min="3846" max="3846" width="11.40625" style="27"/>
    <col min="3847" max="3847" width="11.26953125" style="27" customWidth="1"/>
    <col min="3848" max="3848" width="10.7265625" style="27" bestFit="1" customWidth="1"/>
    <col min="3849" max="3849" width="9.7265625" style="27" bestFit="1" customWidth="1"/>
    <col min="3850" max="3850" width="11" style="27" customWidth="1"/>
    <col min="3851" max="3851" width="10.7265625" style="27" bestFit="1" customWidth="1"/>
    <col min="3852" max="3852" width="11.40625" style="27"/>
    <col min="3853" max="3853" width="0" style="27" hidden="1" customWidth="1"/>
    <col min="3854" max="4095" width="11.40625" style="27"/>
    <col min="4096" max="4096" width="52.1328125" style="27" customWidth="1"/>
    <col min="4097" max="4097" width="11.40625" style="27"/>
    <col min="4098" max="4098" width="13.26953125" style="27" customWidth="1"/>
    <col min="4099" max="4100" width="11.40625" style="27"/>
    <col min="4101" max="4101" width="11.86328125" style="27" bestFit="1" customWidth="1"/>
    <col min="4102" max="4102" width="11.40625" style="27"/>
    <col min="4103" max="4103" width="11.26953125" style="27" customWidth="1"/>
    <col min="4104" max="4104" width="10.7265625" style="27" bestFit="1" customWidth="1"/>
    <col min="4105" max="4105" width="9.7265625" style="27" bestFit="1" customWidth="1"/>
    <col min="4106" max="4106" width="11" style="27" customWidth="1"/>
    <col min="4107" max="4107" width="10.7265625" style="27" bestFit="1" customWidth="1"/>
    <col min="4108" max="4108" width="11.40625" style="27"/>
    <col min="4109" max="4109" width="0" style="27" hidden="1" customWidth="1"/>
    <col min="4110" max="4351" width="11.40625" style="27"/>
    <col min="4352" max="4352" width="52.1328125" style="27" customWidth="1"/>
    <col min="4353" max="4353" width="11.40625" style="27"/>
    <col min="4354" max="4354" width="13.26953125" style="27" customWidth="1"/>
    <col min="4355" max="4356" width="11.40625" style="27"/>
    <col min="4357" max="4357" width="11.86328125" style="27" bestFit="1" customWidth="1"/>
    <col min="4358" max="4358" width="11.40625" style="27"/>
    <col min="4359" max="4359" width="11.26953125" style="27" customWidth="1"/>
    <col min="4360" max="4360" width="10.7265625" style="27" bestFit="1" customWidth="1"/>
    <col min="4361" max="4361" width="9.7265625" style="27" bestFit="1" customWidth="1"/>
    <col min="4362" max="4362" width="11" style="27" customWidth="1"/>
    <col min="4363" max="4363" width="10.7265625" style="27" bestFit="1" customWidth="1"/>
    <col min="4364" max="4364" width="11.40625" style="27"/>
    <col min="4365" max="4365" width="0" style="27" hidden="1" customWidth="1"/>
    <col min="4366" max="4607" width="11.40625" style="27"/>
    <col min="4608" max="4608" width="52.1328125" style="27" customWidth="1"/>
    <col min="4609" max="4609" width="11.40625" style="27"/>
    <col min="4610" max="4610" width="13.26953125" style="27" customWidth="1"/>
    <col min="4611" max="4612" width="11.40625" style="27"/>
    <col min="4613" max="4613" width="11.86328125" style="27" bestFit="1" customWidth="1"/>
    <col min="4614" max="4614" width="11.40625" style="27"/>
    <col min="4615" max="4615" width="11.26953125" style="27" customWidth="1"/>
    <col min="4616" max="4616" width="10.7265625" style="27" bestFit="1" customWidth="1"/>
    <col min="4617" max="4617" width="9.7265625" style="27" bestFit="1" customWidth="1"/>
    <col min="4618" max="4618" width="11" style="27" customWidth="1"/>
    <col min="4619" max="4619" width="10.7265625" style="27" bestFit="1" customWidth="1"/>
    <col min="4620" max="4620" width="11.40625" style="27"/>
    <col min="4621" max="4621" width="0" style="27" hidden="1" customWidth="1"/>
    <col min="4622" max="4863" width="11.40625" style="27"/>
    <col min="4864" max="4864" width="52.1328125" style="27" customWidth="1"/>
    <col min="4865" max="4865" width="11.40625" style="27"/>
    <col min="4866" max="4866" width="13.26953125" style="27" customWidth="1"/>
    <col min="4867" max="4868" width="11.40625" style="27"/>
    <col min="4869" max="4869" width="11.86328125" style="27" bestFit="1" customWidth="1"/>
    <col min="4870" max="4870" width="11.40625" style="27"/>
    <col min="4871" max="4871" width="11.26953125" style="27" customWidth="1"/>
    <col min="4872" max="4872" width="10.7265625" style="27" bestFit="1" customWidth="1"/>
    <col min="4873" max="4873" width="9.7265625" style="27" bestFit="1" customWidth="1"/>
    <col min="4874" max="4874" width="11" style="27" customWidth="1"/>
    <col min="4875" max="4875" width="10.7265625" style="27" bestFit="1" customWidth="1"/>
    <col min="4876" max="4876" width="11.40625" style="27"/>
    <col min="4877" max="4877" width="0" style="27" hidden="1" customWidth="1"/>
    <col min="4878" max="5119" width="11.40625" style="27"/>
    <col min="5120" max="5120" width="52.1328125" style="27" customWidth="1"/>
    <col min="5121" max="5121" width="11.40625" style="27"/>
    <col min="5122" max="5122" width="13.26953125" style="27" customWidth="1"/>
    <col min="5123" max="5124" width="11.40625" style="27"/>
    <col min="5125" max="5125" width="11.86328125" style="27" bestFit="1" customWidth="1"/>
    <col min="5126" max="5126" width="11.40625" style="27"/>
    <col min="5127" max="5127" width="11.26953125" style="27" customWidth="1"/>
    <col min="5128" max="5128" width="10.7265625" style="27" bestFit="1" customWidth="1"/>
    <col min="5129" max="5129" width="9.7265625" style="27" bestFit="1" customWidth="1"/>
    <col min="5130" max="5130" width="11" style="27" customWidth="1"/>
    <col min="5131" max="5131" width="10.7265625" style="27" bestFit="1" customWidth="1"/>
    <col min="5132" max="5132" width="11.40625" style="27"/>
    <col min="5133" max="5133" width="0" style="27" hidden="1" customWidth="1"/>
    <col min="5134" max="5375" width="11.40625" style="27"/>
    <col min="5376" max="5376" width="52.1328125" style="27" customWidth="1"/>
    <col min="5377" max="5377" width="11.40625" style="27"/>
    <col min="5378" max="5378" width="13.26953125" style="27" customWidth="1"/>
    <col min="5379" max="5380" width="11.40625" style="27"/>
    <col min="5381" max="5381" width="11.86328125" style="27" bestFit="1" customWidth="1"/>
    <col min="5382" max="5382" width="11.40625" style="27"/>
    <col min="5383" max="5383" width="11.26953125" style="27" customWidth="1"/>
    <col min="5384" max="5384" width="10.7265625" style="27" bestFit="1" customWidth="1"/>
    <col min="5385" max="5385" width="9.7265625" style="27" bestFit="1" customWidth="1"/>
    <col min="5386" max="5386" width="11" style="27" customWidth="1"/>
    <col min="5387" max="5387" width="10.7265625" style="27" bestFit="1" customWidth="1"/>
    <col min="5388" max="5388" width="11.40625" style="27"/>
    <col min="5389" max="5389" width="0" style="27" hidden="1" customWidth="1"/>
    <col min="5390" max="5631" width="11.40625" style="27"/>
    <col min="5632" max="5632" width="52.1328125" style="27" customWidth="1"/>
    <col min="5633" max="5633" width="11.40625" style="27"/>
    <col min="5634" max="5634" width="13.26953125" style="27" customWidth="1"/>
    <col min="5635" max="5636" width="11.40625" style="27"/>
    <col min="5637" max="5637" width="11.86328125" style="27" bestFit="1" customWidth="1"/>
    <col min="5638" max="5638" width="11.40625" style="27"/>
    <col min="5639" max="5639" width="11.26953125" style="27" customWidth="1"/>
    <col min="5640" max="5640" width="10.7265625" style="27" bestFit="1" customWidth="1"/>
    <col min="5641" max="5641" width="9.7265625" style="27" bestFit="1" customWidth="1"/>
    <col min="5642" max="5642" width="11" style="27" customWidth="1"/>
    <col min="5643" max="5643" width="10.7265625" style="27" bestFit="1" customWidth="1"/>
    <col min="5644" max="5644" width="11.40625" style="27"/>
    <col min="5645" max="5645" width="0" style="27" hidden="1" customWidth="1"/>
    <col min="5646" max="5887" width="11.40625" style="27"/>
    <col min="5888" max="5888" width="52.1328125" style="27" customWidth="1"/>
    <col min="5889" max="5889" width="11.40625" style="27"/>
    <col min="5890" max="5890" width="13.26953125" style="27" customWidth="1"/>
    <col min="5891" max="5892" width="11.40625" style="27"/>
    <col min="5893" max="5893" width="11.86328125" style="27" bestFit="1" customWidth="1"/>
    <col min="5894" max="5894" width="11.40625" style="27"/>
    <col min="5895" max="5895" width="11.26953125" style="27" customWidth="1"/>
    <col min="5896" max="5896" width="10.7265625" style="27" bestFit="1" customWidth="1"/>
    <col min="5897" max="5897" width="9.7265625" style="27" bestFit="1" customWidth="1"/>
    <col min="5898" max="5898" width="11" style="27" customWidth="1"/>
    <col min="5899" max="5899" width="10.7265625" style="27" bestFit="1" customWidth="1"/>
    <col min="5900" max="5900" width="11.40625" style="27"/>
    <col min="5901" max="5901" width="0" style="27" hidden="1" customWidth="1"/>
    <col min="5902" max="6143" width="11.40625" style="27"/>
    <col min="6144" max="6144" width="52.1328125" style="27" customWidth="1"/>
    <col min="6145" max="6145" width="11.40625" style="27"/>
    <col min="6146" max="6146" width="13.26953125" style="27" customWidth="1"/>
    <col min="6147" max="6148" width="11.40625" style="27"/>
    <col min="6149" max="6149" width="11.86328125" style="27" bestFit="1" customWidth="1"/>
    <col min="6150" max="6150" width="11.40625" style="27"/>
    <col min="6151" max="6151" width="11.26953125" style="27" customWidth="1"/>
    <col min="6152" max="6152" width="10.7265625" style="27" bestFit="1" customWidth="1"/>
    <col min="6153" max="6153" width="9.7265625" style="27" bestFit="1" customWidth="1"/>
    <col min="6154" max="6154" width="11" style="27" customWidth="1"/>
    <col min="6155" max="6155" width="10.7265625" style="27" bestFit="1" customWidth="1"/>
    <col min="6156" max="6156" width="11.40625" style="27"/>
    <col min="6157" max="6157" width="0" style="27" hidden="1" customWidth="1"/>
    <col min="6158" max="6399" width="11.40625" style="27"/>
    <col min="6400" max="6400" width="52.1328125" style="27" customWidth="1"/>
    <col min="6401" max="6401" width="11.40625" style="27"/>
    <col min="6402" max="6402" width="13.26953125" style="27" customWidth="1"/>
    <col min="6403" max="6404" width="11.40625" style="27"/>
    <col min="6405" max="6405" width="11.86328125" style="27" bestFit="1" customWidth="1"/>
    <col min="6406" max="6406" width="11.40625" style="27"/>
    <col min="6407" max="6407" width="11.26953125" style="27" customWidth="1"/>
    <col min="6408" max="6408" width="10.7265625" style="27" bestFit="1" customWidth="1"/>
    <col min="6409" max="6409" width="9.7265625" style="27" bestFit="1" customWidth="1"/>
    <col min="6410" max="6410" width="11" style="27" customWidth="1"/>
    <col min="6411" max="6411" width="10.7265625" style="27" bestFit="1" customWidth="1"/>
    <col min="6412" max="6412" width="11.40625" style="27"/>
    <col min="6413" max="6413" width="0" style="27" hidden="1" customWidth="1"/>
    <col min="6414" max="6655" width="11.40625" style="27"/>
    <col min="6656" max="6656" width="52.1328125" style="27" customWidth="1"/>
    <col min="6657" max="6657" width="11.40625" style="27"/>
    <col min="6658" max="6658" width="13.26953125" style="27" customWidth="1"/>
    <col min="6659" max="6660" width="11.40625" style="27"/>
    <col min="6661" max="6661" width="11.86328125" style="27" bestFit="1" customWidth="1"/>
    <col min="6662" max="6662" width="11.40625" style="27"/>
    <col min="6663" max="6663" width="11.26953125" style="27" customWidth="1"/>
    <col min="6664" max="6664" width="10.7265625" style="27" bestFit="1" customWidth="1"/>
    <col min="6665" max="6665" width="9.7265625" style="27" bestFit="1" customWidth="1"/>
    <col min="6666" max="6666" width="11" style="27" customWidth="1"/>
    <col min="6667" max="6667" width="10.7265625" style="27" bestFit="1" customWidth="1"/>
    <col min="6668" max="6668" width="11.40625" style="27"/>
    <col min="6669" max="6669" width="0" style="27" hidden="1" customWidth="1"/>
    <col min="6670" max="6911" width="11.40625" style="27"/>
    <col min="6912" max="6912" width="52.1328125" style="27" customWidth="1"/>
    <col min="6913" max="6913" width="11.40625" style="27"/>
    <col min="6914" max="6914" width="13.26953125" style="27" customWidth="1"/>
    <col min="6915" max="6916" width="11.40625" style="27"/>
    <col min="6917" max="6917" width="11.86328125" style="27" bestFit="1" customWidth="1"/>
    <col min="6918" max="6918" width="11.40625" style="27"/>
    <col min="6919" max="6919" width="11.26953125" style="27" customWidth="1"/>
    <col min="6920" max="6920" width="10.7265625" style="27" bestFit="1" customWidth="1"/>
    <col min="6921" max="6921" width="9.7265625" style="27" bestFit="1" customWidth="1"/>
    <col min="6922" max="6922" width="11" style="27" customWidth="1"/>
    <col min="6923" max="6923" width="10.7265625" style="27" bestFit="1" customWidth="1"/>
    <col min="6924" max="6924" width="11.40625" style="27"/>
    <col min="6925" max="6925" width="0" style="27" hidden="1" customWidth="1"/>
    <col min="6926" max="7167" width="11.40625" style="27"/>
    <col min="7168" max="7168" width="52.1328125" style="27" customWidth="1"/>
    <col min="7169" max="7169" width="11.40625" style="27"/>
    <col min="7170" max="7170" width="13.26953125" style="27" customWidth="1"/>
    <col min="7171" max="7172" width="11.40625" style="27"/>
    <col min="7173" max="7173" width="11.86328125" style="27" bestFit="1" customWidth="1"/>
    <col min="7174" max="7174" width="11.40625" style="27"/>
    <col min="7175" max="7175" width="11.26953125" style="27" customWidth="1"/>
    <col min="7176" max="7176" width="10.7265625" style="27" bestFit="1" customWidth="1"/>
    <col min="7177" max="7177" width="9.7265625" style="27" bestFit="1" customWidth="1"/>
    <col min="7178" max="7178" width="11" style="27" customWidth="1"/>
    <col min="7179" max="7179" width="10.7265625" style="27" bestFit="1" customWidth="1"/>
    <col min="7180" max="7180" width="11.40625" style="27"/>
    <col min="7181" max="7181" width="0" style="27" hidden="1" customWidth="1"/>
    <col min="7182" max="7423" width="11.40625" style="27"/>
    <col min="7424" max="7424" width="52.1328125" style="27" customWidth="1"/>
    <col min="7425" max="7425" width="11.40625" style="27"/>
    <col min="7426" max="7426" width="13.26953125" style="27" customWidth="1"/>
    <col min="7427" max="7428" width="11.40625" style="27"/>
    <col min="7429" max="7429" width="11.86328125" style="27" bestFit="1" customWidth="1"/>
    <col min="7430" max="7430" width="11.40625" style="27"/>
    <col min="7431" max="7431" width="11.26953125" style="27" customWidth="1"/>
    <col min="7432" max="7432" width="10.7265625" style="27" bestFit="1" customWidth="1"/>
    <col min="7433" max="7433" width="9.7265625" style="27" bestFit="1" customWidth="1"/>
    <col min="7434" max="7434" width="11" style="27" customWidth="1"/>
    <col min="7435" max="7435" width="10.7265625" style="27" bestFit="1" customWidth="1"/>
    <col min="7436" max="7436" width="11.40625" style="27"/>
    <col min="7437" max="7437" width="0" style="27" hidden="1" customWidth="1"/>
    <col min="7438" max="7679" width="11.40625" style="27"/>
    <col min="7680" max="7680" width="52.1328125" style="27" customWidth="1"/>
    <col min="7681" max="7681" width="11.40625" style="27"/>
    <col min="7682" max="7682" width="13.26953125" style="27" customWidth="1"/>
    <col min="7683" max="7684" width="11.40625" style="27"/>
    <col min="7685" max="7685" width="11.86328125" style="27" bestFit="1" customWidth="1"/>
    <col min="7686" max="7686" width="11.40625" style="27"/>
    <col min="7687" max="7687" width="11.26953125" style="27" customWidth="1"/>
    <col min="7688" max="7688" width="10.7265625" style="27" bestFit="1" customWidth="1"/>
    <col min="7689" max="7689" width="9.7265625" style="27" bestFit="1" customWidth="1"/>
    <col min="7690" max="7690" width="11" style="27" customWidth="1"/>
    <col min="7691" max="7691" width="10.7265625" style="27" bestFit="1" customWidth="1"/>
    <col min="7692" max="7692" width="11.40625" style="27"/>
    <col min="7693" max="7693" width="0" style="27" hidden="1" customWidth="1"/>
    <col min="7694" max="7935" width="11.40625" style="27"/>
    <col min="7936" max="7936" width="52.1328125" style="27" customWidth="1"/>
    <col min="7937" max="7937" width="11.40625" style="27"/>
    <col min="7938" max="7938" width="13.26953125" style="27" customWidth="1"/>
    <col min="7939" max="7940" width="11.40625" style="27"/>
    <col min="7941" max="7941" width="11.86328125" style="27" bestFit="1" customWidth="1"/>
    <col min="7942" max="7942" width="11.40625" style="27"/>
    <col min="7943" max="7943" width="11.26953125" style="27" customWidth="1"/>
    <col min="7944" max="7944" width="10.7265625" style="27" bestFit="1" customWidth="1"/>
    <col min="7945" max="7945" width="9.7265625" style="27" bestFit="1" customWidth="1"/>
    <col min="7946" max="7946" width="11" style="27" customWidth="1"/>
    <col min="7947" max="7947" width="10.7265625" style="27" bestFit="1" customWidth="1"/>
    <col min="7948" max="7948" width="11.40625" style="27"/>
    <col min="7949" max="7949" width="0" style="27" hidden="1" customWidth="1"/>
    <col min="7950" max="8191" width="11.40625" style="27"/>
    <col min="8192" max="8192" width="52.1328125" style="27" customWidth="1"/>
    <col min="8193" max="8193" width="11.40625" style="27"/>
    <col min="8194" max="8194" width="13.26953125" style="27" customWidth="1"/>
    <col min="8195" max="8196" width="11.40625" style="27"/>
    <col min="8197" max="8197" width="11.86328125" style="27" bestFit="1" customWidth="1"/>
    <col min="8198" max="8198" width="11.40625" style="27"/>
    <col min="8199" max="8199" width="11.26953125" style="27" customWidth="1"/>
    <col min="8200" max="8200" width="10.7265625" style="27" bestFit="1" customWidth="1"/>
    <col min="8201" max="8201" width="9.7265625" style="27" bestFit="1" customWidth="1"/>
    <col min="8202" max="8202" width="11" style="27" customWidth="1"/>
    <col min="8203" max="8203" width="10.7265625" style="27" bestFit="1" customWidth="1"/>
    <col min="8204" max="8204" width="11.40625" style="27"/>
    <col min="8205" max="8205" width="0" style="27" hidden="1" customWidth="1"/>
    <col min="8206" max="8447" width="11.40625" style="27"/>
    <col min="8448" max="8448" width="52.1328125" style="27" customWidth="1"/>
    <col min="8449" max="8449" width="11.40625" style="27"/>
    <col min="8450" max="8450" width="13.26953125" style="27" customWidth="1"/>
    <col min="8451" max="8452" width="11.40625" style="27"/>
    <col min="8453" max="8453" width="11.86328125" style="27" bestFit="1" customWidth="1"/>
    <col min="8454" max="8454" width="11.40625" style="27"/>
    <col min="8455" max="8455" width="11.26953125" style="27" customWidth="1"/>
    <col min="8456" max="8456" width="10.7265625" style="27" bestFit="1" customWidth="1"/>
    <col min="8457" max="8457" width="9.7265625" style="27" bestFit="1" customWidth="1"/>
    <col min="8458" max="8458" width="11" style="27" customWidth="1"/>
    <col min="8459" max="8459" width="10.7265625" style="27" bestFit="1" customWidth="1"/>
    <col min="8460" max="8460" width="11.40625" style="27"/>
    <col min="8461" max="8461" width="0" style="27" hidden="1" customWidth="1"/>
    <col min="8462" max="8703" width="11.40625" style="27"/>
    <col min="8704" max="8704" width="52.1328125" style="27" customWidth="1"/>
    <col min="8705" max="8705" width="11.40625" style="27"/>
    <col min="8706" max="8706" width="13.26953125" style="27" customWidth="1"/>
    <col min="8707" max="8708" width="11.40625" style="27"/>
    <col min="8709" max="8709" width="11.86328125" style="27" bestFit="1" customWidth="1"/>
    <col min="8710" max="8710" width="11.40625" style="27"/>
    <col min="8711" max="8711" width="11.26953125" style="27" customWidth="1"/>
    <col min="8712" max="8712" width="10.7265625" style="27" bestFit="1" customWidth="1"/>
    <col min="8713" max="8713" width="9.7265625" style="27" bestFit="1" customWidth="1"/>
    <col min="8714" max="8714" width="11" style="27" customWidth="1"/>
    <col min="8715" max="8715" width="10.7265625" style="27" bestFit="1" customWidth="1"/>
    <col min="8716" max="8716" width="11.40625" style="27"/>
    <col min="8717" max="8717" width="0" style="27" hidden="1" customWidth="1"/>
    <col min="8718" max="8959" width="11.40625" style="27"/>
    <col min="8960" max="8960" width="52.1328125" style="27" customWidth="1"/>
    <col min="8961" max="8961" width="11.40625" style="27"/>
    <col min="8962" max="8962" width="13.26953125" style="27" customWidth="1"/>
    <col min="8963" max="8964" width="11.40625" style="27"/>
    <col min="8965" max="8965" width="11.86328125" style="27" bestFit="1" customWidth="1"/>
    <col min="8966" max="8966" width="11.40625" style="27"/>
    <col min="8967" max="8967" width="11.26953125" style="27" customWidth="1"/>
    <col min="8968" max="8968" width="10.7265625" style="27" bestFit="1" customWidth="1"/>
    <col min="8969" max="8969" width="9.7265625" style="27" bestFit="1" customWidth="1"/>
    <col min="8970" max="8970" width="11" style="27" customWidth="1"/>
    <col min="8971" max="8971" width="10.7265625" style="27" bestFit="1" customWidth="1"/>
    <col min="8972" max="8972" width="11.40625" style="27"/>
    <col min="8973" max="8973" width="0" style="27" hidden="1" customWidth="1"/>
    <col min="8974" max="9215" width="11.40625" style="27"/>
    <col min="9216" max="9216" width="52.1328125" style="27" customWidth="1"/>
    <col min="9217" max="9217" width="11.40625" style="27"/>
    <col min="9218" max="9218" width="13.26953125" style="27" customWidth="1"/>
    <col min="9219" max="9220" width="11.40625" style="27"/>
    <col min="9221" max="9221" width="11.86328125" style="27" bestFit="1" customWidth="1"/>
    <col min="9222" max="9222" width="11.40625" style="27"/>
    <col min="9223" max="9223" width="11.26953125" style="27" customWidth="1"/>
    <col min="9224" max="9224" width="10.7265625" style="27" bestFit="1" customWidth="1"/>
    <col min="9225" max="9225" width="9.7265625" style="27" bestFit="1" customWidth="1"/>
    <col min="9226" max="9226" width="11" style="27" customWidth="1"/>
    <col min="9227" max="9227" width="10.7265625" style="27" bestFit="1" customWidth="1"/>
    <col min="9228" max="9228" width="11.40625" style="27"/>
    <col min="9229" max="9229" width="0" style="27" hidden="1" customWidth="1"/>
    <col min="9230" max="9471" width="11.40625" style="27"/>
    <col min="9472" max="9472" width="52.1328125" style="27" customWidth="1"/>
    <col min="9473" max="9473" width="11.40625" style="27"/>
    <col min="9474" max="9474" width="13.26953125" style="27" customWidth="1"/>
    <col min="9475" max="9476" width="11.40625" style="27"/>
    <col min="9477" max="9477" width="11.86328125" style="27" bestFit="1" customWidth="1"/>
    <col min="9478" max="9478" width="11.40625" style="27"/>
    <col min="9479" max="9479" width="11.26953125" style="27" customWidth="1"/>
    <col min="9480" max="9480" width="10.7265625" style="27" bestFit="1" customWidth="1"/>
    <col min="9481" max="9481" width="9.7265625" style="27" bestFit="1" customWidth="1"/>
    <col min="9482" max="9482" width="11" style="27" customWidth="1"/>
    <col min="9483" max="9483" width="10.7265625" style="27" bestFit="1" customWidth="1"/>
    <col min="9484" max="9484" width="11.40625" style="27"/>
    <col min="9485" max="9485" width="0" style="27" hidden="1" customWidth="1"/>
    <col min="9486" max="9727" width="11.40625" style="27"/>
    <col min="9728" max="9728" width="52.1328125" style="27" customWidth="1"/>
    <col min="9729" max="9729" width="11.40625" style="27"/>
    <col min="9730" max="9730" width="13.26953125" style="27" customWidth="1"/>
    <col min="9731" max="9732" width="11.40625" style="27"/>
    <col min="9733" max="9733" width="11.86328125" style="27" bestFit="1" customWidth="1"/>
    <col min="9734" max="9734" width="11.40625" style="27"/>
    <col min="9735" max="9735" width="11.26953125" style="27" customWidth="1"/>
    <col min="9736" max="9736" width="10.7265625" style="27" bestFit="1" customWidth="1"/>
    <col min="9737" max="9737" width="9.7265625" style="27" bestFit="1" customWidth="1"/>
    <col min="9738" max="9738" width="11" style="27" customWidth="1"/>
    <col min="9739" max="9739" width="10.7265625" style="27" bestFit="1" customWidth="1"/>
    <col min="9740" max="9740" width="11.40625" style="27"/>
    <col min="9741" max="9741" width="0" style="27" hidden="1" customWidth="1"/>
    <col min="9742" max="9983" width="11.40625" style="27"/>
    <col min="9984" max="9984" width="52.1328125" style="27" customWidth="1"/>
    <col min="9985" max="9985" width="11.40625" style="27"/>
    <col min="9986" max="9986" width="13.26953125" style="27" customWidth="1"/>
    <col min="9987" max="9988" width="11.40625" style="27"/>
    <col min="9989" max="9989" width="11.86328125" style="27" bestFit="1" customWidth="1"/>
    <col min="9990" max="9990" width="11.40625" style="27"/>
    <col min="9991" max="9991" width="11.26953125" style="27" customWidth="1"/>
    <col min="9992" max="9992" width="10.7265625" style="27" bestFit="1" customWidth="1"/>
    <col min="9993" max="9993" width="9.7265625" style="27" bestFit="1" customWidth="1"/>
    <col min="9994" max="9994" width="11" style="27" customWidth="1"/>
    <col min="9995" max="9995" width="10.7265625" style="27" bestFit="1" customWidth="1"/>
    <col min="9996" max="9996" width="11.40625" style="27"/>
    <col min="9997" max="9997" width="0" style="27" hidden="1" customWidth="1"/>
    <col min="9998" max="10239" width="11.40625" style="27"/>
    <col min="10240" max="10240" width="52.1328125" style="27" customWidth="1"/>
    <col min="10241" max="10241" width="11.40625" style="27"/>
    <col min="10242" max="10242" width="13.26953125" style="27" customWidth="1"/>
    <col min="10243" max="10244" width="11.40625" style="27"/>
    <col min="10245" max="10245" width="11.86328125" style="27" bestFit="1" customWidth="1"/>
    <col min="10246" max="10246" width="11.40625" style="27"/>
    <col min="10247" max="10247" width="11.26953125" style="27" customWidth="1"/>
    <col min="10248" max="10248" width="10.7265625" style="27" bestFit="1" customWidth="1"/>
    <col min="10249" max="10249" width="9.7265625" style="27" bestFit="1" customWidth="1"/>
    <col min="10250" max="10250" width="11" style="27" customWidth="1"/>
    <col min="10251" max="10251" width="10.7265625" style="27" bestFit="1" customWidth="1"/>
    <col min="10252" max="10252" width="11.40625" style="27"/>
    <col min="10253" max="10253" width="0" style="27" hidden="1" customWidth="1"/>
    <col min="10254" max="10495" width="11.40625" style="27"/>
    <col min="10496" max="10496" width="52.1328125" style="27" customWidth="1"/>
    <col min="10497" max="10497" width="11.40625" style="27"/>
    <col min="10498" max="10498" width="13.26953125" style="27" customWidth="1"/>
    <col min="10499" max="10500" width="11.40625" style="27"/>
    <col min="10501" max="10501" width="11.86328125" style="27" bestFit="1" customWidth="1"/>
    <col min="10502" max="10502" width="11.40625" style="27"/>
    <col min="10503" max="10503" width="11.26953125" style="27" customWidth="1"/>
    <col min="10504" max="10504" width="10.7265625" style="27" bestFit="1" customWidth="1"/>
    <col min="10505" max="10505" width="9.7265625" style="27" bestFit="1" customWidth="1"/>
    <col min="10506" max="10506" width="11" style="27" customWidth="1"/>
    <col min="10507" max="10507" width="10.7265625" style="27" bestFit="1" customWidth="1"/>
    <col min="10508" max="10508" width="11.40625" style="27"/>
    <col min="10509" max="10509" width="0" style="27" hidden="1" customWidth="1"/>
    <col min="10510" max="10751" width="11.40625" style="27"/>
    <col min="10752" max="10752" width="52.1328125" style="27" customWidth="1"/>
    <col min="10753" max="10753" width="11.40625" style="27"/>
    <col min="10754" max="10754" width="13.26953125" style="27" customWidth="1"/>
    <col min="10755" max="10756" width="11.40625" style="27"/>
    <col min="10757" max="10757" width="11.86328125" style="27" bestFit="1" customWidth="1"/>
    <col min="10758" max="10758" width="11.40625" style="27"/>
    <col min="10759" max="10759" width="11.26953125" style="27" customWidth="1"/>
    <col min="10760" max="10760" width="10.7265625" style="27" bestFit="1" customWidth="1"/>
    <col min="10761" max="10761" width="9.7265625" style="27" bestFit="1" customWidth="1"/>
    <col min="10762" max="10762" width="11" style="27" customWidth="1"/>
    <col min="10763" max="10763" width="10.7265625" style="27" bestFit="1" customWidth="1"/>
    <col min="10764" max="10764" width="11.40625" style="27"/>
    <col min="10765" max="10765" width="0" style="27" hidden="1" customWidth="1"/>
    <col min="10766" max="11007" width="11.40625" style="27"/>
    <col min="11008" max="11008" width="52.1328125" style="27" customWidth="1"/>
    <col min="11009" max="11009" width="11.40625" style="27"/>
    <col min="11010" max="11010" width="13.26953125" style="27" customWidth="1"/>
    <col min="11011" max="11012" width="11.40625" style="27"/>
    <col min="11013" max="11013" width="11.86328125" style="27" bestFit="1" customWidth="1"/>
    <col min="11014" max="11014" width="11.40625" style="27"/>
    <col min="11015" max="11015" width="11.26953125" style="27" customWidth="1"/>
    <col min="11016" max="11016" width="10.7265625" style="27" bestFit="1" customWidth="1"/>
    <col min="11017" max="11017" width="9.7265625" style="27" bestFit="1" customWidth="1"/>
    <col min="11018" max="11018" width="11" style="27" customWidth="1"/>
    <col min="11019" max="11019" width="10.7265625" style="27" bestFit="1" customWidth="1"/>
    <col min="11020" max="11020" width="11.40625" style="27"/>
    <col min="11021" max="11021" width="0" style="27" hidden="1" customWidth="1"/>
    <col min="11022" max="11263" width="11.40625" style="27"/>
    <col min="11264" max="11264" width="52.1328125" style="27" customWidth="1"/>
    <col min="11265" max="11265" width="11.40625" style="27"/>
    <col min="11266" max="11266" width="13.26953125" style="27" customWidth="1"/>
    <col min="11267" max="11268" width="11.40625" style="27"/>
    <col min="11269" max="11269" width="11.86328125" style="27" bestFit="1" customWidth="1"/>
    <col min="11270" max="11270" width="11.40625" style="27"/>
    <col min="11271" max="11271" width="11.26953125" style="27" customWidth="1"/>
    <col min="11272" max="11272" width="10.7265625" style="27" bestFit="1" customWidth="1"/>
    <col min="11273" max="11273" width="9.7265625" style="27" bestFit="1" customWidth="1"/>
    <col min="11274" max="11274" width="11" style="27" customWidth="1"/>
    <col min="11275" max="11275" width="10.7265625" style="27" bestFit="1" customWidth="1"/>
    <col min="11276" max="11276" width="11.40625" style="27"/>
    <col min="11277" max="11277" width="0" style="27" hidden="1" customWidth="1"/>
    <col min="11278" max="11519" width="11.40625" style="27"/>
    <col min="11520" max="11520" width="52.1328125" style="27" customWidth="1"/>
    <col min="11521" max="11521" width="11.40625" style="27"/>
    <col min="11522" max="11522" width="13.26953125" style="27" customWidth="1"/>
    <col min="11523" max="11524" width="11.40625" style="27"/>
    <col min="11525" max="11525" width="11.86328125" style="27" bestFit="1" customWidth="1"/>
    <col min="11526" max="11526" width="11.40625" style="27"/>
    <col min="11527" max="11527" width="11.26953125" style="27" customWidth="1"/>
    <col min="11528" max="11528" width="10.7265625" style="27" bestFit="1" customWidth="1"/>
    <col min="11529" max="11529" width="9.7265625" style="27" bestFit="1" customWidth="1"/>
    <col min="11530" max="11530" width="11" style="27" customWidth="1"/>
    <col min="11531" max="11531" width="10.7265625" style="27" bestFit="1" customWidth="1"/>
    <col min="11532" max="11532" width="11.40625" style="27"/>
    <col min="11533" max="11533" width="0" style="27" hidden="1" customWidth="1"/>
    <col min="11534" max="11775" width="11.40625" style="27"/>
    <col min="11776" max="11776" width="52.1328125" style="27" customWidth="1"/>
    <col min="11777" max="11777" width="11.40625" style="27"/>
    <col min="11778" max="11778" width="13.26953125" style="27" customWidth="1"/>
    <col min="11779" max="11780" width="11.40625" style="27"/>
    <col min="11781" max="11781" width="11.86328125" style="27" bestFit="1" customWidth="1"/>
    <col min="11782" max="11782" width="11.40625" style="27"/>
    <col min="11783" max="11783" width="11.26953125" style="27" customWidth="1"/>
    <col min="11784" max="11784" width="10.7265625" style="27" bestFit="1" customWidth="1"/>
    <col min="11785" max="11785" width="9.7265625" style="27" bestFit="1" customWidth="1"/>
    <col min="11786" max="11786" width="11" style="27" customWidth="1"/>
    <col min="11787" max="11787" width="10.7265625" style="27" bestFit="1" customWidth="1"/>
    <col min="11788" max="11788" width="11.40625" style="27"/>
    <col min="11789" max="11789" width="0" style="27" hidden="1" customWidth="1"/>
    <col min="11790" max="12031" width="11.40625" style="27"/>
    <col min="12032" max="12032" width="52.1328125" style="27" customWidth="1"/>
    <col min="12033" max="12033" width="11.40625" style="27"/>
    <col min="12034" max="12034" width="13.26953125" style="27" customWidth="1"/>
    <col min="12035" max="12036" width="11.40625" style="27"/>
    <col min="12037" max="12037" width="11.86328125" style="27" bestFit="1" customWidth="1"/>
    <col min="12038" max="12038" width="11.40625" style="27"/>
    <col min="12039" max="12039" width="11.26953125" style="27" customWidth="1"/>
    <col min="12040" max="12040" width="10.7265625" style="27" bestFit="1" customWidth="1"/>
    <col min="12041" max="12041" width="9.7265625" style="27" bestFit="1" customWidth="1"/>
    <col min="12042" max="12042" width="11" style="27" customWidth="1"/>
    <col min="12043" max="12043" width="10.7265625" style="27" bestFit="1" customWidth="1"/>
    <col min="12044" max="12044" width="11.40625" style="27"/>
    <col min="12045" max="12045" width="0" style="27" hidden="1" customWidth="1"/>
    <col min="12046" max="12287" width="11.40625" style="27"/>
    <col min="12288" max="12288" width="52.1328125" style="27" customWidth="1"/>
    <col min="12289" max="12289" width="11.40625" style="27"/>
    <col min="12290" max="12290" width="13.26953125" style="27" customWidth="1"/>
    <col min="12291" max="12292" width="11.40625" style="27"/>
    <col min="12293" max="12293" width="11.86328125" style="27" bestFit="1" customWidth="1"/>
    <col min="12294" max="12294" width="11.40625" style="27"/>
    <col min="12295" max="12295" width="11.26953125" style="27" customWidth="1"/>
    <col min="12296" max="12296" width="10.7265625" style="27" bestFit="1" customWidth="1"/>
    <col min="12297" max="12297" width="9.7265625" style="27" bestFit="1" customWidth="1"/>
    <col min="12298" max="12298" width="11" style="27" customWidth="1"/>
    <col min="12299" max="12299" width="10.7265625" style="27" bestFit="1" customWidth="1"/>
    <col min="12300" max="12300" width="11.40625" style="27"/>
    <col min="12301" max="12301" width="0" style="27" hidden="1" customWidth="1"/>
    <col min="12302" max="12543" width="11.40625" style="27"/>
    <col min="12544" max="12544" width="52.1328125" style="27" customWidth="1"/>
    <col min="12545" max="12545" width="11.40625" style="27"/>
    <col min="12546" max="12546" width="13.26953125" style="27" customWidth="1"/>
    <col min="12547" max="12548" width="11.40625" style="27"/>
    <col min="12549" max="12549" width="11.86328125" style="27" bestFit="1" customWidth="1"/>
    <col min="12550" max="12550" width="11.40625" style="27"/>
    <col min="12551" max="12551" width="11.26953125" style="27" customWidth="1"/>
    <col min="12552" max="12552" width="10.7265625" style="27" bestFit="1" customWidth="1"/>
    <col min="12553" max="12553" width="9.7265625" style="27" bestFit="1" customWidth="1"/>
    <col min="12554" max="12554" width="11" style="27" customWidth="1"/>
    <col min="12555" max="12555" width="10.7265625" style="27" bestFit="1" customWidth="1"/>
    <col min="12556" max="12556" width="11.40625" style="27"/>
    <col min="12557" max="12557" width="0" style="27" hidden="1" customWidth="1"/>
    <col min="12558" max="12799" width="11.40625" style="27"/>
    <col min="12800" max="12800" width="52.1328125" style="27" customWidth="1"/>
    <col min="12801" max="12801" width="11.40625" style="27"/>
    <col min="12802" max="12802" width="13.26953125" style="27" customWidth="1"/>
    <col min="12803" max="12804" width="11.40625" style="27"/>
    <col min="12805" max="12805" width="11.86328125" style="27" bestFit="1" customWidth="1"/>
    <col min="12806" max="12806" width="11.40625" style="27"/>
    <col min="12807" max="12807" width="11.26953125" style="27" customWidth="1"/>
    <col min="12808" max="12808" width="10.7265625" style="27" bestFit="1" customWidth="1"/>
    <col min="12809" max="12809" width="9.7265625" style="27" bestFit="1" customWidth="1"/>
    <col min="12810" max="12810" width="11" style="27" customWidth="1"/>
    <col min="12811" max="12811" width="10.7265625" style="27" bestFit="1" customWidth="1"/>
    <col min="12812" max="12812" width="11.40625" style="27"/>
    <col min="12813" max="12813" width="0" style="27" hidden="1" customWidth="1"/>
    <col min="12814" max="13055" width="11.40625" style="27"/>
    <col min="13056" max="13056" width="52.1328125" style="27" customWidth="1"/>
    <col min="13057" max="13057" width="11.40625" style="27"/>
    <col min="13058" max="13058" width="13.26953125" style="27" customWidth="1"/>
    <col min="13059" max="13060" width="11.40625" style="27"/>
    <col min="13061" max="13061" width="11.86328125" style="27" bestFit="1" customWidth="1"/>
    <col min="13062" max="13062" width="11.40625" style="27"/>
    <col min="13063" max="13063" width="11.26953125" style="27" customWidth="1"/>
    <col min="13064" max="13064" width="10.7265625" style="27" bestFit="1" customWidth="1"/>
    <col min="13065" max="13065" width="9.7265625" style="27" bestFit="1" customWidth="1"/>
    <col min="13066" max="13066" width="11" style="27" customWidth="1"/>
    <col min="13067" max="13067" width="10.7265625" style="27" bestFit="1" customWidth="1"/>
    <col min="13068" max="13068" width="11.40625" style="27"/>
    <col min="13069" max="13069" width="0" style="27" hidden="1" customWidth="1"/>
    <col min="13070" max="13311" width="11.40625" style="27"/>
    <col min="13312" max="13312" width="52.1328125" style="27" customWidth="1"/>
    <col min="13313" max="13313" width="11.40625" style="27"/>
    <col min="13314" max="13314" width="13.26953125" style="27" customWidth="1"/>
    <col min="13315" max="13316" width="11.40625" style="27"/>
    <col min="13317" max="13317" width="11.86328125" style="27" bestFit="1" customWidth="1"/>
    <col min="13318" max="13318" width="11.40625" style="27"/>
    <col min="13319" max="13319" width="11.26953125" style="27" customWidth="1"/>
    <col min="13320" max="13320" width="10.7265625" style="27" bestFit="1" customWidth="1"/>
    <col min="13321" max="13321" width="9.7265625" style="27" bestFit="1" customWidth="1"/>
    <col min="13322" max="13322" width="11" style="27" customWidth="1"/>
    <col min="13323" max="13323" width="10.7265625" style="27" bestFit="1" customWidth="1"/>
    <col min="13324" max="13324" width="11.40625" style="27"/>
    <col min="13325" max="13325" width="0" style="27" hidden="1" customWidth="1"/>
    <col min="13326" max="13567" width="11.40625" style="27"/>
    <col min="13568" max="13568" width="52.1328125" style="27" customWidth="1"/>
    <col min="13569" max="13569" width="11.40625" style="27"/>
    <col min="13570" max="13570" width="13.26953125" style="27" customWidth="1"/>
    <col min="13571" max="13572" width="11.40625" style="27"/>
    <col min="13573" max="13573" width="11.86328125" style="27" bestFit="1" customWidth="1"/>
    <col min="13574" max="13574" width="11.40625" style="27"/>
    <col min="13575" max="13575" width="11.26953125" style="27" customWidth="1"/>
    <col min="13576" max="13576" width="10.7265625" style="27" bestFit="1" customWidth="1"/>
    <col min="13577" max="13577" width="9.7265625" style="27" bestFit="1" customWidth="1"/>
    <col min="13578" max="13578" width="11" style="27" customWidth="1"/>
    <col min="13579" max="13579" width="10.7265625" style="27" bestFit="1" customWidth="1"/>
    <col min="13580" max="13580" width="11.40625" style="27"/>
    <col min="13581" max="13581" width="0" style="27" hidden="1" customWidth="1"/>
    <col min="13582" max="13823" width="11.40625" style="27"/>
    <col min="13824" max="13824" width="52.1328125" style="27" customWidth="1"/>
    <col min="13825" max="13825" width="11.40625" style="27"/>
    <col min="13826" max="13826" width="13.26953125" style="27" customWidth="1"/>
    <col min="13827" max="13828" width="11.40625" style="27"/>
    <col min="13829" max="13829" width="11.86328125" style="27" bestFit="1" customWidth="1"/>
    <col min="13830" max="13830" width="11.40625" style="27"/>
    <col min="13831" max="13831" width="11.26953125" style="27" customWidth="1"/>
    <col min="13832" max="13832" width="10.7265625" style="27" bestFit="1" customWidth="1"/>
    <col min="13833" max="13833" width="9.7265625" style="27" bestFit="1" customWidth="1"/>
    <col min="13834" max="13834" width="11" style="27" customWidth="1"/>
    <col min="13835" max="13835" width="10.7265625" style="27" bestFit="1" customWidth="1"/>
    <col min="13836" max="13836" width="11.40625" style="27"/>
    <col min="13837" max="13837" width="0" style="27" hidden="1" customWidth="1"/>
    <col min="13838" max="14079" width="11.40625" style="27"/>
    <col min="14080" max="14080" width="52.1328125" style="27" customWidth="1"/>
    <col min="14081" max="14081" width="11.40625" style="27"/>
    <col min="14082" max="14082" width="13.26953125" style="27" customWidth="1"/>
    <col min="14083" max="14084" width="11.40625" style="27"/>
    <col min="14085" max="14085" width="11.86328125" style="27" bestFit="1" customWidth="1"/>
    <col min="14086" max="14086" width="11.40625" style="27"/>
    <col min="14087" max="14087" width="11.26953125" style="27" customWidth="1"/>
    <col min="14088" max="14088" width="10.7265625" style="27" bestFit="1" customWidth="1"/>
    <col min="14089" max="14089" width="9.7265625" style="27" bestFit="1" customWidth="1"/>
    <col min="14090" max="14090" width="11" style="27" customWidth="1"/>
    <col min="14091" max="14091" width="10.7265625" style="27" bestFit="1" customWidth="1"/>
    <col min="14092" max="14092" width="11.40625" style="27"/>
    <col min="14093" max="14093" width="0" style="27" hidden="1" customWidth="1"/>
    <col min="14094" max="14335" width="11.40625" style="27"/>
    <col min="14336" max="14336" width="52.1328125" style="27" customWidth="1"/>
    <col min="14337" max="14337" width="11.40625" style="27"/>
    <col min="14338" max="14338" width="13.26953125" style="27" customWidth="1"/>
    <col min="14339" max="14340" width="11.40625" style="27"/>
    <col min="14341" max="14341" width="11.86328125" style="27" bestFit="1" customWidth="1"/>
    <col min="14342" max="14342" width="11.40625" style="27"/>
    <col min="14343" max="14343" width="11.26953125" style="27" customWidth="1"/>
    <col min="14344" max="14344" width="10.7265625" style="27" bestFit="1" customWidth="1"/>
    <col min="14345" max="14345" width="9.7265625" style="27" bestFit="1" customWidth="1"/>
    <col min="14346" max="14346" width="11" style="27" customWidth="1"/>
    <col min="14347" max="14347" width="10.7265625" style="27" bestFit="1" customWidth="1"/>
    <col min="14348" max="14348" width="11.40625" style="27"/>
    <col min="14349" max="14349" width="0" style="27" hidden="1" customWidth="1"/>
    <col min="14350" max="14591" width="11.40625" style="27"/>
    <col min="14592" max="14592" width="52.1328125" style="27" customWidth="1"/>
    <col min="14593" max="14593" width="11.40625" style="27"/>
    <col min="14594" max="14594" width="13.26953125" style="27" customWidth="1"/>
    <col min="14595" max="14596" width="11.40625" style="27"/>
    <col min="14597" max="14597" width="11.86328125" style="27" bestFit="1" customWidth="1"/>
    <col min="14598" max="14598" width="11.40625" style="27"/>
    <col min="14599" max="14599" width="11.26953125" style="27" customWidth="1"/>
    <col min="14600" max="14600" width="10.7265625" style="27" bestFit="1" customWidth="1"/>
    <col min="14601" max="14601" width="9.7265625" style="27" bestFit="1" customWidth="1"/>
    <col min="14602" max="14602" width="11" style="27" customWidth="1"/>
    <col min="14603" max="14603" width="10.7265625" style="27" bestFit="1" customWidth="1"/>
    <col min="14604" max="14604" width="11.40625" style="27"/>
    <col min="14605" max="14605" width="0" style="27" hidden="1" customWidth="1"/>
    <col min="14606" max="14847" width="11.40625" style="27"/>
    <col min="14848" max="14848" width="52.1328125" style="27" customWidth="1"/>
    <col min="14849" max="14849" width="11.40625" style="27"/>
    <col min="14850" max="14850" width="13.26953125" style="27" customWidth="1"/>
    <col min="14851" max="14852" width="11.40625" style="27"/>
    <col min="14853" max="14853" width="11.86328125" style="27" bestFit="1" customWidth="1"/>
    <col min="14854" max="14854" width="11.40625" style="27"/>
    <col min="14855" max="14855" width="11.26953125" style="27" customWidth="1"/>
    <col min="14856" max="14856" width="10.7265625" style="27" bestFit="1" customWidth="1"/>
    <col min="14857" max="14857" width="9.7265625" style="27" bestFit="1" customWidth="1"/>
    <col min="14858" max="14858" width="11" style="27" customWidth="1"/>
    <col min="14859" max="14859" width="10.7265625" style="27" bestFit="1" customWidth="1"/>
    <col min="14860" max="14860" width="11.40625" style="27"/>
    <col min="14861" max="14861" width="0" style="27" hidden="1" customWidth="1"/>
    <col min="14862" max="15103" width="11.40625" style="27"/>
    <col min="15104" max="15104" width="52.1328125" style="27" customWidth="1"/>
    <col min="15105" max="15105" width="11.40625" style="27"/>
    <col min="15106" max="15106" width="13.26953125" style="27" customWidth="1"/>
    <col min="15107" max="15108" width="11.40625" style="27"/>
    <col min="15109" max="15109" width="11.86328125" style="27" bestFit="1" customWidth="1"/>
    <col min="15110" max="15110" width="11.40625" style="27"/>
    <col min="15111" max="15111" width="11.26953125" style="27" customWidth="1"/>
    <col min="15112" max="15112" width="10.7265625" style="27" bestFit="1" customWidth="1"/>
    <col min="15113" max="15113" width="9.7265625" style="27" bestFit="1" customWidth="1"/>
    <col min="15114" max="15114" width="11" style="27" customWidth="1"/>
    <col min="15115" max="15115" width="10.7265625" style="27" bestFit="1" customWidth="1"/>
    <col min="15116" max="15116" width="11.40625" style="27"/>
    <col min="15117" max="15117" width="0" style="27" hidden="1" customWidth="1"/>
    <col min="15118" max="15359" width="11.40625" style="27"/>
    <col min="15360" max="15360" width="52.1328125" style="27" customWidth="1"/>
    <col min="15361" max="15361" width="11.40625" style="27"/>
    <col min="15362" max="15362" width="13.26953125" style="27" customWidth="1"/>
    <col min="15363" max="15364" width="11.40625" style="27"/>
    <col min="15365" max="15365" width="11.86328125" style="27" bestFit="1" customWidth="1"/>
    <col min="15366" max="15366" width="11.40625" style="27"/>
    <col min="15367" max="15367" width="11.26953125" style="27" customWidth="1"/>
    <col min="15368" max="15368" width="10.7265625" style="27" bestFit="1" customWidth="1"/>
    <col min="15369" max="15369" width="9.7265625" style="27" bestFit="1" customWidth="1"/>
    <col min="15370" max="15370" width="11" style="27" customWidth="1"/>
    <col min="15371" max="15371" width="10.7265625" style="27" bestFit="1" customWidth="1"/>
    <col min="15372" max="15372" width="11.40625" style="27"/>
    <col min="15373" max="15373" width="0" style="27" hidden="1" customWidth="1"/>
    <col min="15374" max="15615" width="11.40625" style="27"/>
    <col min="15616" max="15616" width="52.1328125" style="27" customWidth="1"/>
    <col min="15617" max="15617" width="11.40625" style="27"/>
    <col min="15618" max="15618" width="13.26953125" style="27" customWidth="1"/>
    <col min="15619" max="15620" width="11.40625" style="27"/>
    <col min="15621" max="15621" width="11.86328125" style="27" bestFit="1" customWidth="1"/>
    <col min="15622" max="15622" width="11.40625" style="27"/>
    <col min="15623" max="15623" width="11.26953125" style="27" customWidth="1"/>
    <col min="15624" max="15624" width="10.7265625" style="27" bestFit="1" customWidth="1"/>
    <col min="15625" max="15625" width="9.7265625" style="27" bestFit="1" customWidth="1"/>
    <col min="15626" max="15626" width="11" style="27" customWidth="1"/>
    <col min="15627" max="15627" width="10.7265625" style="27" bestFit="1" customWidth="1"/>
    <col min="15628" max="15628" width="11.40625" style="27"/>
    <col min="15629" max="15629" width="0" style="27" hidden="1" customWidth="1"/>
    <col min="15630" max="15871" width="11.40625" style="27"/>
    <col min="15872" max="15872" width="52.1328125" style="27" customWidth="1"/>
    <col min="15873" max="15873" width="11.40625" style="27"/>
    <col min="15874" max="15874" width="13.26953125" style="27" customWidth="1"/>
    <col min="15875" max="15876" width="11.40625" style="27"/>
    <col min="15877" max="15877" width="11.86328125" style="27" bestFit="1" customWidth="1"/>
    <col min="15878" max="15878" width="11.40625" style="27"/>
    <col min="15879" max="15879" width="11.26953125" style="27" customWidth="1"/>
    <col min="15880" max="15880" width="10.7265625" style="27" bestFit="1" customWidth="1"/>
    <col min="15881" max="15881" width="9.7265625" style="27" bestFit="1" customWidth="1"/>
    <col min="15882" max="15882" width="11" style="27" customWidth="1"/>
    <col min="15883" max="15883" width="10.7265625" style="27" bestFit="1" customWidth="1"/>
    <col min="15884" max="15884" width="11.40625" style="27"/>
    <col min="15885" max="15885" width="0" style="27" hidden="1" customWidth="1"/>
    <col min="15886" max="16127" width="11.40625" style="27"/>
    <col min="16128" max="16128" width="52.1328125" style="27" customWidth="1"/>
    <col min="16129" max="16129" width="11.40625" style="27"/>
    <col min="16130" max="16130" width="13.26953125" style="27" customWidth="1"/>
    <col min="16131" max="16132" width="11.40625" style="27"/>
    <col min="16133" max="16133" width="11.86328125" style="27" bestFit="1" customWidth="1"/>
    <col min="16134" max="16134" width="11.40625" style="27"/>
    <col min="16135" max="16135" width="11.26953125" style="27" customWidth="1"/>
    <col min="16136" max="16136" width="10.7265625" style="27" bestFit="1" customWidth="1"/>
    <col min="16137" max="16137" width="9.7265625" style="27" bestFit="1" customWidth="1"/>
    <col min="16138" max="16138" width="11" style="27" customWidth="1"/>
    <col min="16139" max="16139" width="10.7265625" style="27" bestFit="1" customWidth="1"/>
    <col min="16140" max="16140" width="11.40625" style="27"/>
    <col min="16141" max="16141" width="0" style="27" hidden="1" customWidth="1"/>
    <col min="16142" max="16384" width="11.40625" style="27"/>
  </cols>
  <sheetData>
    <row r="1" spans="1:20" x14ac:dyDescent="0.6">
      <c r="S1" s="27" t="s">
        <v>79</v>
      </c>
    </row>
    <row r="2" spans="1:20" ht="13.75" thickBot="1" x14ac:dyDescent="0.75">
      <c r="A2" s="27" t="s">
        <v>80</v>
      </c>
    </row>
    <row r="3" spans="1:20" ht="12.75" customHeight="1" x14ac:dyDescent="0.6">
      <c r="A3" s="383" t="s">
        <v>81</v>
      </c>
      <c r="B3" s="384" t="s">
        <v>82</v>
      </c>
      <c r="C3" s="386" t="s">
        <v>83</v>
      </c>
      <c r="D3" s="388" t="s">
        <v>84</v>
      </c>
      <c r="E3" s="389"/>
      <c r="F3" s="383" t="s">
        <v>85</v>
      </c>
      <c r="G3" s="390" t="s">
        <v>86</v>
      </c>
      <c r="H3" s="391"/>
      <c r="I3" s="29"/>
      <c r="J3" s="30"/>
      <c r="M3" s="392" t="s">
        <v>87</v>
      </c>
      <c r="N3" s="394" t="s">
        <v>88</v>
      </c>
      <c r="O3" s="395"/>
      <c r="P3" s="395"/>
      <c r="Q3" s="395"/>
      <c r="R3" s="395"/>
      <c r="S3" s="31"/>
      <c r="T3" s="396" t="s">
        <v>89</v>
      </c>
    </row>
    <row r="4" spans="1:20" ht="32.25" thickBot="1" x14ac:dyDescent="0.75">
      <c r="A4" s="383"/>
      <c r="B4" s="385"/>
      <c r="C4" s="387"/>
      <c r="D4" s="32" t="s">
        <v>90</v>
      </c>
      <c r="E4" s="32" t="s">
        <v>91</v>
      </c>
      <c r="F4" s="383"/>
      <c r="G4" s="33" t="s">
        <v>92</v>
      </c>
      <c r="H4" s="34" t="s">
        <v>93</v>
      </c>
      <c r="I4" s="35"/>
      <c r="J4" s="36"/>
      <c r="M4" s="393"/>
      <c r="N4" s="398" t="s">
        <v>94</v>
      </c>
      <c r="O4" s="399"/>
      <c r="P4" s="399"/>
      <c r="Q4" s="399"/>
      <c r="R4" s="399"/>
      <c r="S4" s="37"/>
      <c r="T4" s="397"/>
    </row>
    <row r="5" spans="1:20" ht="15.25" thickBot="1" x14ac:dyDescent="0.75">
      <c r="A5" s="38">
        <v>1</v>
      </c>
      <c r="B5" s="38">
        <v>2</v>
      </c>
      <c r="C5" s="39"/>
      <c r="D5" s="38">
        <v>8</v>
      </c>
      <c r="E5" s="38">
        <v>9</v>
      </c>
      <c r="F5" s="38">
        <v>5</v>
      </c>
      <c r="G5" s="40">
        <v>10</v>
      </c>
      <c r="H5" s="38">
        <v>11</v>
      </c>
      <c r="I5" s="41"/>
      <c r="J5" s="42"/>
      <c r="M5" s="400" t="s">
        <v>95</v>
      </c>
      <c r="N5" s="392" t="s">
        <v>82</v>
      </c>
      <c r="O5" s="401" t="s">
        <v>96</v>
      </c>
      <c r="P5" s="403" t="s">
        <v>97</v>
      </c>
      <c r="Q5" s="404"/>
      <c r="R5" s="405" t="s">
        <v>90</v>
      </c>
      <c r="S5" s="403" t="s">
        <v>98</v>
      </c>
      <c r="T5" s="407"/>
    </row>
    <row r="6" spans="1:20" ht="19.5" customHeight="1" thickBot="1" x14ac:dyDescent="0.9">
      <c r="A6" s="43" t="s">
        <v>99</v>
      </c>
      <c r="B6" s="44" t="s">
        <v>100</v>
      </c>
      <c r="C6" s="45">
        <f t="shared" ref="C6:E8" si="0">C28+C50+C72+C94+C116+C138+C160+C182+C204+C226+C248+C270+C292+C314+C336+C358</f>
        <v>1801610.3399999999</v>
      </c>
      <c r="D6" s="46">
        <f t="shared" si="0"/>
        <v>794548.8352973134</v>
      </c>
      <c r="E6" s="46">
        <f t="shared" si="0"/>
        <v>973208.8600000001</v>
      </c>
      <c r="F6" s="46">
        <v>1844302.8855360809</v>
      </c>
      <c r="G6" s="47">
        <f>F6/C6</f>
        <v>1.0236968808338884</v>
      </c>
      <c r="H6" s="48">
        <f>E6/D6</f>
        <v>1.2248571979038061</v>
      </c>
      <c r="I6" s="49"/>
      <c r="J6" s="50"/>
      <c r="M6" s="393"/>
      <c r="N6" s="393"/>
      <c r="O6" s="402"/>
      <c r="P6" s="51" t="s">
        <v>101</v>
      </c>
      <c r="Q6" s="51" t="s">
        <v>102</v>
      </c>
      <c r="R6" s="406"/>
      <c r="S6" s="52" t="s">
        <v>103</v>
      </c>
      <c r="T6" s="51" t="s">
        <v>104</v>
      </c>
    </row>
    <row r="7" spans="1:20" ht="19.5" customHeight="1" thickBot="1" x14ac:dyDescent="0.9">
      <c r="A7" s="43" t="s">
        <v>105</v>
      </c>
      <c r="B7" s="44" t="s">
        <v>100</v>
      </c>
      <c r="C7" s="45">
        <f t="shared" si="0"/>
        <v>1735074.16</v>
      </c>
      <c r="D7" s="46">
        <f t="shared" si="0"/>
        <v>774011.67238979472</v>
      </c>
      <c r="E7" s="46">
        <f t="shared" si="0"/>
        <v>952633.8899999999</v>
      </c>
      <c r="F7" s="46">
        <v>1796899.99703139</v>
      </c>
      <c r="G7" s="47">
        <f t="shared" ref="G7:G16" si="1">F7/C7</f>
        <v>1.0356329651243208</v>
      </c>
      <c r="H7" s="48">
        <f t="shared" ref="H7:H16" si="2">E7/D7</f>
        <v>1.2307745787071935</v>
      </c>
      <c r="I7" s="49"/>
      <c r="J7" s="50"/>
      <c r="M7" s="53" t="s">
        <v>106</v>
      </c>
      <c r="N7" s="54"/>
      <c r="O7" s="55"/>
      <c r="P7" s="55"/>
      <c r="Q7" s="55"/>
      <c r="R7" s="55"/>
      <c r="S7" s="56"/>
      <c r="T7" s="57"/>
    </row>
    <row r="8" spans="1:20" ht="19.5" customHeight="1" thickBot="1" x14ac:dyDescent="0.9">
      <c r="A8" s="43" t="s">
        <v>107</v>
      </c>
      <c r="B8" s="44" t="s">
        <v>100</v>
      </c>
      <c r="C8" s="45">
        <f t="shared" si="0"/>
        <v>131961.18000000002</v>
      </c>
      <c r="D8" s="46">
        <f t="shared" si="0"/>
        <v>47177.315173221257</v>
      </c>
      <c r="E8" s="46">
        <f t="shared" si="0"/>
        <v>90120.599999999991</v>
      </c>
      <c r="F8" s="46">
        <v>155620</v>
      </c>
      <c r="G8" s="47">
        <f t="shared" si="1"/>
        <v>1.1792862112933513</v>
      </c>
      <c r="H8" s="48">
        <f t="shared" si="2"/>
        <v>1.9102528337847033</v>
      </c>
      <c r="I8" s="49"/>
      <c r="J8" s="50"/>
      <c r="M8" s="58" t="s">
        <v>76</v>
      </c>
      <c r="N8" s="59" t="s">
        <v>100</v>
      </c>
      <c r="O8" s="60">
        <v>1801610.3399999999</v>
      </c>
      <c r="P8" s="60">
        <v>794548.8352973134</v>
      </c>
      <c r="Q8" s="60">
        <v>973208.8600000001</v>
      </c>
      <c r="R8" s="60">
        <v>1844302.8855360809</v>
      </c>
      <c r="S8" s="61">
        <f>Q8/P8</f>
        <v>1.2248571979038061</v>
      </c>
      <c r="T8" s="62">
        <f>R8/O8</f>
        <v>1.0236968808338884</v>
      </c>
    </row>
    <row r="9" spans="1:20" ht="19.5" customHeight="1" thickBot="1" x14ac:dyDescent="0.9">
      <c r="A9" s="63" t="s">
        <v>108</v>
      </c>
      <c r="B9" s="44" t="s">
        <v>100</v>
      </c>
      <c r="C9" s="64">
        <f>I13</f>
        <v>48891.617190000012</v>
      </c>
      <c r="D9" s="64">
        <f>J13</f>
        <v>17479.195271678476</v>
      </c>
      <c r="E9" s="64">
        <f>K13</f>
        <v>33389.682299999993</v>
      </c>
      <c r="F9" s="64">
        <f>L13</f>
        <v>57657.21</v>
      </c>
      <c r="G9" s="47">
        <f t="shared" si="1"/>
        <v>1.1792862112933513</v>
      </c>
      <c r="H9" s="48">
        <f t="shared" si="2"/>
        <v>1.9102528337847031</v>
      </c>
      <c r="I9" s="28">
        <f>C8*5%</f>
        <v>6598.0590000000011</v>
      </c>
      <c r="J9" s="28">
        <f>D8*5%</f>
        <v>2358.865758661063</v>
      </c>
      <c r="K9" s="28">
        <f>E8*5%</f>
        <v>4506.03</v>
      </c>
      <c r="L9" s="28">
        <f>F8*5%</f>
        <v>7781</v>
      </c>
      <c r="M9" s="58" t="s">
        <v>109</v>
      </c>
      <c r="N9" s="59" t="s">
        <v>100</v>
      </c>
      <c r="O9" s="60">
        <f>O8-O10</f>
        <v>1669649.16</v>
      </c>
      <c r="P9" s="60">
        <f t="shared" ref="P9:R9" si="3">P8-P10</f>
        <v>747371.52012409212</v>
      </c>
      <c r="Q9" s="60">
        <f t="shared" si="3"/>
        <v>883088.26000000013</v>
      </c>
      <c r="R9" s="60">
        <f t="shared" si="3"/>
        <v>1688682.8855360809</v>
      </c>
      <c r="S9" s="61">
        <f t="shared" ref="S9:S11" si="4">Q9/P9</f>
        <v>1.1815920679628973</v>
      </c>
      <c r="T9" s="62">
        <f t="shared" ref="T9:T11" si="5">R9/O9</f>
        <v>1.0113998353618678</v>
      </c>
    </row>
    <row r="10" spans="1:20" ht="19.5" customHeight="1" thickBot="1" x14ac:dyDescent="0.9">
      <c r="A10" s="43" t="s">
        <v>110</v>
      </c>
      <c r="B10" s="44" t="s">
        <v>100</v>
      </c>
      <c r="C10" s="45">
        <f>C32+C54+C76+C98+C120+C142+C164+C186+C208+C230+C252+C274+C296+C318+C340+C362</f>
        <v>519803.69</v>
      </c>
      <c r="D10" s="46">
        <f>D32+D54+D76+D98+D120+D142+D164+D186+D208+D230+D252+D274+D296+D318+D340+D362</f>
        <v>273020.06927594019</v>
      </c>
      <c r="E10" s="46">
        <f>E32+E54+E76+E98+E120+E142+E164+E186+E208+E230+E252+E274+E296+E318+E340+E362</f>
        <v>287805.51</v>
      </c>
      <c r="F10" s="46">
        <v>613880.00412573596</v>
      </c>
      <c r="G10" s="47">
        <f t="shared" si="1"/>
        <v>1.1809843137622511</v>
      </c>
      <c r="H10" s="48">
        <f t="shared" si="2"/>
        <v>1.0541551423793547</v>
      </c>
      <c r="I10" s="28">
        <f>C8-I9</f>
        <v>125363.12100000001</v>
      </c>
      <c r="J10" s="28">
        <f>D8-J9</f>
        <v>44818.449414560193</v>
      </c>
      <c r="K10" s="28">
        <f>E8-K9</f>
        <v>85614.569999999992</v>
      </c>
      <c r="L10" s="28">
        <f>F8-L9</f>
        <v>147839</v>
      </c>
      <c r="M10" s="58" t="s">
        <v>111</v>
      </c>
      <c r="N10" s="59" t="s">
        <v>100</v>
      </c>
      <c r="O10" s="60">
        <v>131961.18000000002</v>
      </c>
      <c r="P10" s="60">
        <v>47177.315173221257</v>
      </c>
      <c r="Q10" s="60">
        <v>90120.599999999991</v>
      </c>
      <c r="R10" s="60">
        <v>155620</v>
      </c>
      <c r="S10" s="61">
        <f t="shared" si="4"/>
        <v>1.9102528337847033</v>
      </c>
      <c r="T10" s="62">
        <f t="shared" si="5"/>
        <v>1.1792862112933513</v>
      </c>
    </row>
    <row r="11" spans="1:20" ht="19.5" customHeight="1" thickBot="1" x14ac:dyDescent="0.9">
      <c r="A11" s="43" t="s">
        <v>112</v>
      </c>
      <c r="B11" s="44" t="s">
        <v>113</v>
      </c>
      <c r="C11" s="65">
        <f>C10/C14*1000</f>
        <v>121194.61179762182</v>
      </c>
      <c r="D11" s="65">
        <f>D10/D14*1000</f>
        <v>55155.569550694985</v>
      </c>
      <c r="E11" s="65">
        <f>E10/E14*1000</f>
        <v>67307.181945743694</v>
      </c>
      <c r="F11" s="65">
        <f>F10/F14*1000</f>
        <v>118053.84694725691</v>
      </c>
      <c r="G11" s="47">
        <f t="shared" si="1"/>
        <v>0.974084946485826</v>
      </c>
      <c r="H11" s="48">
        <f t="shared" si="2"/>
        <v>1.2203152373194122</v>
      </c>
      <c r="I11" s="28">
        <f>I10*35%</f>
        <v>43877.092349999999</v>
      </c>
      <c r="J11" s="28">
        <f>J10*35%</f>
        <v>15686.457295096066</v>
      </c>
      <c r="K11" s="28">
        <f>K10*35%</f>
        <v>29965.099499999997</v>
      </c>
      <c r="L11" s="28">
        <f>L10*35%</f>
        <v>51743.649999999994</v>
      </c>
      <c r="M11" s="58" t="s">
        <v>114</v>
      </c>
      <c r="N11" s="59" t="s">
        <v>115</v>
      </c>
      <c r="O11" s="66">
        <f>O9/O8</f>
        <v>0.92675376185951508</v>
      </c>
      <c r="P11" s="66">
        <f t="shared" ref="P11:R11" si="6">P9/P8</f>
        <v>0.94062376901532063</v>
      </c>
      <c r="Q11" s="66">
        <f t="shared" si="6"/>
        <v>0.90739850025615265</v>
      </c>
      <c r="R11" s="66">
        <f t="shared" si="6"/>
        <v>0.91562123487392033</v>
      </c>
      <c r="S11" s="61">
        <f t="shared" si="4"/>
        <v>0.96467740891350273</v>
      </c>
      <c r="T11" s="62">
        <f t="shared" si="5"/>
        <v>0.98798761068608176</v>
      </c>
    </row>
    <row r="12" spans="1:20" ht="19.5" customHeight="1" thickBot="1" x14ac:dyDescent="0.9">
      <c r="A12" s="43" t="s">
        <v>116</v>
      </c>
      <c r="B12" s="44" t="s">
        <v>100</v>
      </c>
      <c r="C12" s="45">
        <f t="shared" ref="C12:F14" si="7">C34+C56+C78+C100+C122+C144+C166+C188+C210+C232+C254+C276+C298+C320+C342+C364</f>
        <v>161064.87</v>
      </c>
      <c r="D12" s="46">
        <f t="shared" si="7"/>
        <v>115460.32788316048</v>
      </c>
      <c r="E12" s="67">
        <f t="shared" si="7"/>
        <v>73600.150000000023</v>
      </c>
      <c r="F12" s="46">
        <v>189925.32656129799</v>
      </c>
      <c r="G12" s="47">
        <f t="shared" si="1"/>
        <v>1.1791852969632546</v>
      </c>
      <c r="H12" s="48">
        <f t="shared" si="2"/>
        <v>0.63744968812559877</v>
      </c>
      <c r="I12" s="28">
        <f>I10-I11</f>
        <v>81486.028650000022</v>
      </c>
      <c r="J12" s="28">
        <f>J10-J11</f>
        <v>29131.992119464128</v>
      </c>
      <c r="K12" s="28">
        <f>K10-K11</f>
        <v>55649.470499999996</v>
      </c>
      <c r="L12" s="28">
        <f>L10-L11</f>
        <v>96095.35</v>
      </c>
      <c r="M12" s="53" t="s">
        <v>117</v>
      </c>
      <c r="N12" s="54"/>
      <c r="O12" s="68"/>
      <c r="P12" s="68"/>
      <c r="Q12" s="68"/>
      <c r="R12" s="68"/>
      <c r="S12" s="69"/>
      <c r="T12" s="70"/>
    </row>
    <row r="13" spans="1:20" ht="19.5" customHeight="1" thickBot="1" x14ac:dyDescent="0.9">
      <c r="A13" s="43" t="s">
        <v>118</v>
      </c>
      <c r="B13" s="44" t="s">
        <v>100</v>
      </c>
      <c r="C13" s="46">
        <f t="shared" si="7"/>
        <v>193737.24</v>
      </c>
      <c r="D13" s="46">
        <f t="shared" si="7"/>
        <v>102182.39017659702</v>
      </c>
      <c r="E13" s="46">
        <f t="shared" si="7"/>
        <v>65136.132749999997</v>
      </c>
      <c r="F13" s="46">
        <f t="shared" si="7"/>
        <v>184898.91400674917</v>
      </c>
      <c r="G13" s="47">
        <f t="shared" si="1"/>
        <v>0.95437982912706498</v>
      </c>
      <c r="H13" s="48">
        <f t="shared" si="2"/>
        <v>0.63744968812559855</v>
      </c>
      <c r="I13" s="28">
        <f>I12*60%</f>
        <v>48891.617190000012</v>
      </c>
      <c r="J13" s="28">
        <f>J12*60%</f>
        <v>17479.195271678476</v>
      </c>
      <c r="K13" s="28">
        <f>K12*60%</f>
        <v>33389.682299999993</v>
      </c>
      <c r="L13" s="28">
        <f>L12*60%</f>
        <v>57657.21</v>
      </c>
      <c r="M13" s="58" t="s">
        <v>119</v>
      </c>
      <c r="N13" s="59" t="s">
        <v>100</v>
      </c>
      <c r="O13" s="60">
        <v>161064.87</v>
      </c>
      <c r="P13" s="60">
        <v>115460.32788316048</v>
      </c>
      <c r="Q13" s="71">
        <v>73600.150000000023</v>
      </c>
      <c r="R13" s="71">
        <v>189925.32656129799</v>
      </c>
      <c r="S13" s="61">
        <f t="shared" ref="S13:S20" si="8">Q13/P13</f>
        <v>0.63744968812559877</v>
      </c>
      <c r="T13" s="62">
        <f t="shared" ref="T13:T20" si="9">R13/O13</f>
        <v>1.1791852969632546</v>
      </c>
    </row>
    <row r="14" spans="1:20" ht="19.5" customHeight="1" thickBot="1" x14ac:dyDescent="0.9">
      <c r="A14" s="43" t="s">
        <v>120</v>
      </c>
      <c r="B14" s="44" t="s">
        <v>121</v>
      </c>
      <c r="C14" s="72">
        <f t="shared" si="7"/>
        <v>4289</v>
      </c>
      <c r="D14" s="72">
        <f t="shared" si="7"/>
        <v>4950</v>
      </c>
      <c r="E14" s="72">
        <f t="shared" si="7"/>
        <v>4276</v>
      </c>
      <c r="F14" s="72">
        <v>5200</v>
      </c>
      <c r="G14" s="47">
        <f t="shared" si="1"/>
        <v>1.2124038237351364</v>
      </c>
      <c r="H14" s="48">
        <f t="shared" si="2"/>
        <v>0.86383838383838385</v>
      </c>
      <c r="I14" s="49"/>
      <c r="J14" s="50"/>
      <c r="M14" s="73" t="s">
        <v>122</v>
      </c>
      <c r="N14" s="59" t="s">
        <v>100</v>
      </c>
      <c r="O14" s="74">
        <v>2189.4499999999998</v>
      </c>
      <c r="P14" s="74">
        <v>2027.2</v>
      </c>
      <c r="Q14" s="74">
        <v>1082.72</v>
      </c>
      <c r="R14" s="74">
        <v>5983.63</v>
      </c>
      <c r="S14" s="75">
        <f t="shared" si="8"/>
        <v>0.53409629044988161</v>
      </c>
      <c r="T14" s="76">
        <f t="shared" si="9"/>
        <v>2.7329374957181032</v>
      </c>
    </row>
    <row r="15" spans="1:20" ht="19.5" customHeight="1" thickBot="1" x14ac:dyDescent="0.9">
      <c r="A15" s="43" t="s">
        <v>123</v>
      </c>
      <c r="B15" s="44" t="s">
        <v>124</v>
      </c>
      <c r="C15" s="64">
        <f>C12/C14*1000</f>
        <v>37553.01235719282</v>
      </c>
      <c r="D15" s="64">
        <f>D12/D14*1000</f>
        <v>23325.318764274845</v>
      </c>
      <c r="E15" s="64">
        <f>E12/E14*1000</f>
        <v>17212.383068288127</v>
      </c>
      <c r="F15" s="64">
        <f>F12/F14/12*1000</f>
        <v>3043.6751051490064</v>
      </c>
      <c r="G15" s="47">
        <f t="shared" si="1"/>
        <v>8.1050091965951906E-2</v>
      </c>
      <c r="H15" s="48">
        <f t="shared" si="2"/>
        <v>0.73792702437364688</v>
      </c>
      <c r="I15" s="49"/>
      <c r="J15" s="50"/>
      <c r="M15" s="58" t="s">
        <v>125</v>
      </c>
      <c r="N15" s="59" t="s">
        <v>126</v>
      </c>
      <c r="O15" s="71">
        <v>4289</v>
      </c>
      <c r="P15" s="71">
        <v>4950</v>
      </c>
      <c r="Q15" s="71">
        <v>4276</v>
      </c>
      <c r="R15" s="71">
        <v>5200</v>
      </c>
      <c r="S15" s="61">
        <f t="shared" si="8"/>
        <v>0.86383838383838385</v>
      </c>
      <c r="T15" s="62">
        <f t="shared" si="9"/>
        <v>1.2124038237351364</v>
      </c>
    </row>
    <row r="16" spans="1:20" ht="19.5" customHeight="1" thickBot="1" x14ac:dyDescent="0.9">
      <c r="A16" s="43" t="s">
        <v>127</v>
      </c>
      <c r="B16" s="44" t="s">
        <v>124</v>
      </c>
      <c r="C16" s="77">
        <f>C6*1000/C14</f>
        <v>420053.7048262998</v>
      </c>
      <c r="D16" s="77">
        <f>D6*1000/D14</f>
        <v>160514.91622167948</v>
      </c>
      <c r="E16" s="77">
        <f>E6*1000/E14</f>
        <v>227597.95603367637</v>
      </c>
      <c r="F16" s="77">
        <f>F6*1000/F14/12</f>
        <v>29556.135986155143</v>
      </c>
      <c r="G16" s="47">
        <f t="shared" si="1"/>
        <v>7.0362755158598508E-2</v>
      </c>
      <c r="H16" s="48">
        <f t="shared" si="2"/>
        <v>1.417924024701553</v>
      </c>
      <c r="I16" s="49"/>
      <c r="J16" s="50"/>
      <c r="M16" s="73" t="s">
        <v>122</v>
      </c>
      <c r="N16" s="59" t="s">
        <v>126</v>
      </c>
      <c r="O16" s="78">
        <v>48</v>
      </c>
      <c r="P16" s="78">
        <v>75</v>
      </c>
      <c r="Q16" s="78">
        <v>35</v>
      </c>
      <c r="R16" s="78">
        <v>75</v>
      </c>
      <c r="S16" s="75">
        <f t="shared" si="8"/>
        <v>0.46666666666666667</v>
      </c>
      <c r="T16" s="76">
        <f t="shared" si="9"/>
        <v>1.5625</v>
      </c>
    </row>
    <row r="17" spans="1:20" ht="19.5" customHeight="1" thickBot="1" x14ac:dyDescent="0.9">
      <c r="A17" s="79" t="s">
        <v>128</v>
      </c>
      <c r="B17" s="80" t="s">
        <v>129</v>
      </c>
      <c r="C17" s="81"/>
      <c r="D17" s="81"/>
      <c r="E17" s="82"/>
      <c r="F17" s="81"/>
      <c r="G17" s="83">
        <f>G15/G11</f>
        <v>8.3206390015936119E-2</v>
      </c>
      <c r="H17" s="83">
        <f>H15/H11</f>
        <v>0.60470196700534828</v>
      </c>
      <c r="I17" s="84"/>
      <c r="J17" s="85"/>
      <c r="M17" s="58" t="s">
        <v>130</v>
      </c>
      <c r="N17" s="59" t="s">
        <v>131</v>
      </c>
      <c r="O17" s="60">
        <f>O13*1000/12/O15</f>
        <v>3129.4176964327348</v>
      </c>
      <c r="P17" s="60">
        <f>P13*1000/6/P15</f>
        <v>3887.5531273791412</v>
      </c>
      <c r="Q17" s="60">
        <f>Q13*1000/6/Q15</f>
        <v>2868.7305113813545</v>
      </c>
      <c r="R17" s="60">
        <f t="shared" ref="R17:R18" si="10">R13*1000/12/R15</f>
        <v>3043.6751051490064</v>
      </c>
      <c r="S17" s="61">
        <f t="shared" si="8"/>
        <v>0.73792702437364688</v>
      </c>
      <c r="T17" s="62">
        <f t="shared" si="9"/>
        <v>0.97260110359142293</v>
      </c>
    </row>
    <row r="18" spans="1:20" ht="19.5" customHeight="1" thickBot="1" x14ac:dyDescent="0.9">
      <c r="A18" s="79" t="s">
        <v>132</v>
      </c>
      <c r="B18" s="80" t="s">
        <v>129</v>
      </c>
      <c r="C18" s="81"/>
      <c r="D18" s="81"/>
      <c r="E18" s="82"/>
      <c r="F18" s="81"/>
      <c r="G18" s="83">
        <f>G12/G9</f>
        <v>0.99991442761805371</v>
      </c>
      <c r="H18" s="83">
        <f>H12/H9</f>
        <v>0.33369911922216428</v>
      </c>
      <c r="I18" s="84"/>
      <c r="J18" s="85"/>
      <c r="M18" s="73" t="s">
        <v>122</v>
      </c>
      <c r="N18" s="59" t="s">
        <v>131</v>
      </c>
      <c r="O18" s="60">
        <f>O14*1000/12/O16</f>
        <v>3801.1284722222222</v>
      </c>
      <c r="P18" s="60">
        <f>P14*1000/6/P16</f>
        <v>4504.8888888888896</v>
      </c>
      <c r="Q18" s="60">
        <f>Q14*1000/6/Q16</f>
        <v>5155.8095238095239</v>
      </c>
      <c r="R18" s="60">
        <f t="shared" si="10"/>
        <v>6648.4777777777772</v>
      </c>
      <c r="S18" s="75">
        <f t="shared" si="8"/>
        <v>1.1444920509640319</v>
      </c>
      <c r="T18" s="76">
        <f t="shared" si="9"/>
        <v>1.7490799972595856</v>
      </c>
    </row>
    <row r="19" spans="1:20" ht="19.5" customHeight="1" thickBot="1" x14ac:dyDescent="0.9">
      <c r="A19" s="79" t="s">
        <v>133</v>
      </c>
      <c r="B19" s="80" t="s">
        <v>129</v>
      </c>
      <c r="C19" s="86">
        <f>C12/C9</f>
        <v>3.2943248609281675</v>
      </c>
      <c r="D19" s="86">
        <f>D12/D9</f>
        <v>6.60558601746619</v>
      </c>
      <c r="E19" s="86">
        <f>E12/E9</f>
        <v>2.2042782359747113</v>
      </c>
      <c r="F19" s="86">
        <f>F12/F9</f>
        <v>3.2940429577029131</v>
      </c>
      <c r="G19" s="87"/>
      <c r="H19" s="84"/>
      <c r="I19" s="84"/>
      <c r="J19" s="85"/>
      <c r="M19" s="58" t="s">
        <v>134</v>
      </c>
      <c r="N19" s="59" t="s">
        <v>100</v>
      </c>
      <c r="O19" s="60">
        <v>519803.69</v>
      </c>
      <c r="P19" s="60">
        <v>273020.06927594019</v>
      </c>
      <c r="Q19" s="60">
        <v>287805.51</v>
      </c>
      <c r="R19" s="60">
        <v>613880.00412573596</v>
      </c>
      <c r="S19" s="61">
        <f t="shared" si="8"/>
        <v>1.0541551423793547</v>
      </c>
      <c r="T19" s="62">
        <f t="shared" si="9"/>
        <v>1.1809843137622511</v>
      </c>
    </row>
    <row r="20" spans="1:20" ht="19.5" customHeight="1" thickBot="1" x14ac:dyDescent="0.9">
      <c r="A20" s="79" t="s">
        <v>135</v>
      </c>
      <c r="B20" s="80" t="s">
        <v>129</v>
      </c>
      <c r="C20" s="86">
        <f>C12/C10</f>
        <v>0.30985711163381696</v>
      </c>
      <c r="D20" s="86">
        <f>D12/D10</f>
        <v>0.42290051493051684</v>
      </c>
      <c r="E20" s="86">
        <f>E12/E10</f>
        <v>0.25572877322605819</v>
      </c>
      <c r="F20" s="86">
        <f>F12/F10</f>
        <v>0.30938510015777798</v>
      </c>
      <c r="G20" s="87"/>
      <c r="H20" s="84"/>
      <c r="I20" s="84"/>
      <c r="J20" s="85"/>
      <c r="M20" s="58" t="s">
        <v>136</v>
      </c>
      <c r="N20" s="59" t="s">
        <v>137</v>
      </c>
      <c r="O20" s="60">
        <f>O19*1000/12/O15</f>
        <v>10099.550983135152</v>
      </c>
      <c r="P20" s="60">
        <f>P19*1000/6/P15</f>
        <v>9192.5949251158308</v>
      </c>
      <c r="Q20" s="60">
        <f>Q19*1000/6/Q15</f>
        <v>11217.863657623948</v>
      </c>
      <c r="R20" s="60">
        <f t="shared" ref="R20" si="11">R19*1000/12/R15</f>
        <v>9837.8205789380772</v>
      </c>
      <c r="S20" s="61">
        <f t="shared" si="8"/>
        <v>1.2203152373194119</v>
      </c>
      <c r="T20" s="62">
        <f t="shared" si="9"/>
        <v>0.97408494648582611</v>
      </c>
    </row>
    <row r="21" spans="1:20" ht="19.5" hidden="1" customHeight="1" thickBot="1" x14ac:dyDescent="0.9">
      <c r="A21" s="79" t="s">
        <v>138</v>
      </c>
      <c r="B21" s="80" t="s">
        <v>100</v>
      </c>
      <c r="C21" s="88"/>
      <c r="D21" s="89"/>
      <c r="E21" s="89"/>
      <c r="F21" s="89"/>
      <c r="G21" s="90"/>
      <c r="H21" s="91"/>
      <c r="I21" s="91"/>
      <c r="J21" s="85"/>
      <c r="M21" s="58" t="s">
        <v>139</v>
      </c>
      <c r="N21" s="59" t="s">
        <v>100</v>
      </c>
      <c r="O21" s="60">
        <v>117062.2</v>
      </c>
      <c r="P21" s="60">
        <v>119675.2</v>
      </c>
      <c r="Q21" s="60">
        <v>667433.30000000005</v>
      </c>
      <c r="R21" s="60">
        <v>3287806.9</v>
      </c>
      <c r="S21" s="61">
        <v>570.20000000000005</v>
      </c>
      <c r="T21" s="62">
        <v>492.6</v>
      </c>
    </row>
    <row r="22" spans="1:20" ht="19.5" hidden="1" customHeight="1" thickBot="1" x14ac:dyDescent="0.9">
      <c r="A22" s="79" t="s">
        <v>140</v>
      </c>
      <c r="B22" s="80" t="s">
        <v>100</v>
      </c>
      <c r="C22" s="88"/>
      <c r="D22" s="89"/>
      <c r="E22" s="89"/>
      <c r="F22" s="89"/>
      <c r="G22" s="90"/>
      <c r="H22" s="91"/>
      <c r="I22" s="91"/>
      <c r="J22" s="85"/>
      <c r="M22" s="408" t="s">
        <v>141</v>
      </c>
      <c r="N22" s="409"/>
      <c r="O22" s="409"/>
      <c r="P22" s="409"/>
      <c r="Q22" s="409"/>
      <c r="R22" s="410"/>
      <c r="S22" s="92">
        <v>3.33</v>
      </c>
      <c r="T22" s="62">
        <v>3.16</v>
      </c>
    </row>
    <row r="23" spans="1:20" ht="16" thickBot="1" x14ac:dyDescent="0.75">
      <c r="M23" s="408" t="s">
        <v>128</v>
      </c>
      <c r="N23" s="409"/>
      <c r="O23" s="409"/>
      <c r="P23" s="409"/>
      <c r="Q23" s="409"/>
      <c r="R23" s="410"/>
      <c r="S23" s="92">
        <f>S17/S20</f>
        <v>0.6047019670053484</v>
      </c>
      <c r="T23" s="62">
        <v>0.5</v>
      </c>
    </row>
    <row r="24" spans="1:20" hidden="1" x14ac:dyDescent="0.6">
      <c r="A24" s="27" t="s">
        <v>142</v>
      </c>
    </row>
    <row r="25" spans="1:20" ht="12.75" hidden="1" customHeight="1" x14ac:dyDescent="0.6">
      <c r="A25" s="383" t="s">
        <v>81</v>
      </c>
      <c r="B25" s="384" t="s">
        <v>82</v>
      </c>
      <c r="C25" s="386" t="s">
        <v>83</v>
      </c>
      <c r="D25" s="388" t="s">
        <v>84</v>
      </c>
      <c r="E25" s="389"/>
      <c r="F25" s="383" t="s">
        <v>85</v>
      </c>
      <c r="G25" s="390" t="s">
        <v>86</v>
      </c>
      <c r="H25" s="391"/>
      <c r="I25" s="29"/>
      <c r="J25" s="30"/>
    </row>
    <row r="26" spans="1:20" ht="31.5" hidden="1" x14ac:dyDescent="0.6">
      <c r="A26" s="383"/>
      <c r="B26" s="385"/>
      <c r="C26" s="387"/>
      <c r="D26" s="32" t="s">
        <v>90</v>
      </c>
      <c r="E26" s="32" t="s">
        <v>91</v>
      </c>
      <c r="F26" s="383"/>
      <c r="G26" s="33" t="s">
        <v>92</v>
      </c>
      <c r="H26" s="34" t="s">
        <v>93</v>
      </c>
      <c r="I26" s="35"/>
      <c r="J26" s="36"/>
    </row>
    <row r="27" spans="1:20" hidden="1" x14ac:dyDescent="0.6">
      <c r="A27" s="38">
        <v>1</v>
      </c>
      <c r="B27" s="38">
        <v>2</v>
      </c>
      <c r="C27" s="39"/>
      <c r="D27" s="38">
        <v>8</v>
      </c>
      <c r="E27" s="38">
        <v>9</v>
      </c>
      <c r="F27" s="38">
        <v>5</v>
      </c>
      <c r="G27" s="40">
        <v>10</v>
      </c>
      <c r="H27" s="38">
        <v>11</v>
      </c>
      <c r="I27" s="41"/>
      <c r="J27" s="42"/>
    </row>
    <row r="28" spans="1:20" ht="19.5" hidden="1" customHeight="1" x14ac:dyDescent="0.75">
      <c r="A28" s="43" t="s">
        <v>99</v>
      </c>
      <c r="B28" s="44" t="s">
        <v>100</v>
      </c>
      <c r="C28" s="93">
        <v>142058.34</v>
      </c>
      <c r="D28" s="46">
        <f>[7]RESULTADO!C7</f>
        <v>76804.006800000003</v>
      </c>
      <c r="E28" s="46">
        <f>[7]RESULTADO!D7</f>
        <v>89157.88</v>
      </c>
      <c r="F28" s="46">
        <f>SUM([7]PR!L9)</f>
        <v>168645.47</v>
      </c>
      <c r="G28" s="47">
        <f>F28/C28</f>
        <v>1.1871564175675995</v>
      </c>
      <c r="H28" s="48">
        <f>E28/D28</f>
        <v>1.1608493321470827</v>
      </c>
      <c r="I28" s="49"/>
      <c r="J28" s="50"/>
    </row>
    <row r="29" spans="1:20" ht="19.5" hidden="1" customHeight="1" x14ac:dyDescent="0.75">
      <c r="A29" s="43" t="s">
        <v>105</v>
      </c>
      <c r="B29" s="44" t="s">
        <v>100</v>
      </c>
      <c r="C29" s="93">
        <v>140115.34</v>
      </c>
      <c r="D29" s="46">
        <f>[7]RESULTADO!P7</f>
        <v>76804.006800000003</v>
      </c>
      <c r="E29" s="46">
        <f>[7]RESULTADO!Q7</f>
        <v>88920.320000000007</v>
      </c>
      <c r="F29" s="46">
        <f>SUM([7]PR!L10)</f>
        <v>168645.47</v>
      </c>
      <c r="G29" s="47">
        <f t="shared" ref="G29:G38" si="12">F29/C29</f>
        <v>1.203618889980212</v>
      </c>
      <c r="H29" s="48">
        <f t="shared" ref="H29:H38" si="13">E29/D29</f>
        <v>1.1577562643515624</v>
      </c>
      <c r="I29" s="49"/>
      <c r="J29" s="50"/>
    </row>
    <row r="30" spans="1:20" ht="19.5" hidden="1" customHeight="1" x14ac:dyDescent="0.75">
      <c r="A30" s="43" t="s">
        <v>107</v>
      </c>
      <c r="B30" s="44" t="s">
        <v>100</v>
      </c>
      <c r="C30" s="93">
        <v>3446.9</v>
      </c>
      <c r="D30" s="46">
        <f>[7]RESULTADO!L7</f>
        <v>1297.0248606140376</v>
      </c>
      <c r="E30" s="46">
        <f>[7]RESULTADO!M7</f>
        <v>16163.36</v>
      </c>
      <c r="F30" s="46">
        <f>SUM([7]PR!L35)</f>
        <v>3756.1999999999825</v>
      </c>
      <c r="G30" s="47">
        <f t="shared" si="12"/>
        <v>1.0897328033885469</v>
      </c>
      <c r="H30" s="48">
        <f t="shared" si="13"/>
        <v>12.461873700977437</v>
      </c>
      <c r="I30" s="49"/>
      <c r="J30" s="50"/>
    </row>
    <row r="31" spans="1:20" ht="19.5" hidden="1" customHeight="1" x14ac:dyDescent="0.75">
      <c r="A31" s="63" t="s">
        <v>108</v>
      </c>
      <c r="B31" s="44" t="s">
        <v>100</v>
      </c>
      <c r="C31" s="65">
        <f>I35</f>
        <v>1277.07645</v>
      </c>
      <c r="D31" s="65">
        <f>J35</f>
        <v>480.54771085750099</v>
      </c>
      <c r="E31" s="65">
        <f>K35</f>
        <v>5988.5248800000008</v>
      </c>
      <c r="F31" s="65">
        <f>L35</f>
        <v>1391.6720999999936</v>
      </c>
      <c r="G31" s="47">
        <f t="shared" si="12"/>
        <v>1.0897328033885469</v>
      </c>
      <c r="H31" s="48">
        <f t="shared" si="13"/>
        <v>12.461873700977437</v>
      </c>
      <c r="I31" s="28">
        <f>C30*5%</f>
        <v>172.34500000000003</v>
      </c>
      <c r="J31" s="28">
        <f>D30*5%</f>
        <v>64.85124303070188</v>
      </c>
      <c r="K31" s="28">
        <f>E30*5%</f>
        <v>808.16800000000012</v>
      </c>
      <c r="L31" s="28">
        <f>F30*5%</f>
        <v>187.80999999999915</v>
      </c>
      <c r="M31" s="27" t="s">
        <v>143</v>
      </c>
    </row>
    <row r="32" spans="1:20" ht="19.5" hidden="1" customHeight="1" x14ac:dyDescent="0.75">
      <c r="A32" s="43" t="s">
        <v>110</v>
      </c>
      <c r="B32" s="44" t="s">
        <v>100</v>
      </c>
      <c r="C32" s="93">
        <v>40856.730000000003</v>
      </c>
      <c r="D32" s="46">
        <f>'[7]EMPLEO Y SALARIO'!C7</f>
        <v>22403.660473652861</v>
      </c>
      <c r="E32" s="46">
        <f>'[7]EMPLEO Y SALARIO'!D7</f>
        <v>32325.66</v>
      </c>
      <c r="F32" s="46">
        <f>[7]PR!L5</f>
        <v>43326.639699999949</v>
      </c>
      <c r="G32" s="47">
        <f t="shared" si="12"/>
        <v>1.060452946185364</v>
      </c>
      <c r="H32" s="48">
        <f t="shared" si="13"/>
        <v>1.4428740356075116</v>
      </c>
      <c r="I32" s="28">
        <f>C30-I31</f>
        <v>3274.5550000000003</v>
      </c>
      <c r="J32" s="28">
        <f>D30-J31</f>
        <v>1232.1736175833357</v>
      </c>
      <c r="K32" s="28">
        <f>E30-K31</f>
        <v>15355.192000000001</v>
      </c>
      <c r="L32" s="28">
        <f>F30-L31</f>
        <v>3568.3899999999835</v>
      </c>
      <c r="M32" s="27" t="s">
        <v>144</v>
      </c>
    </row>
    <row r="33" spans="1:13" ht="19.5" hidden="1" customHeight="1" x14ac:dyDescent="0.75">
      <c r="A33" s="43" t="s">
        <v>112</v>
      </c>
      <c r="B33" s="44" t="s">
        <v>113</v>
      </c>
      <c r="C33" s="64">
        <v>9302.5341530054648</v>
      </c>
      <c r="D33" s="64">
        <f>'[7]EMPLEO Y SALARIO'!I27</f>
        <v>9334.8585306886926</v>
      </c>
      <c r="E33" s="64">
        <f>'[7]EMPLEO Y SALARIO'!J27</f>
        <v>14720.245901639346</v>
      </c>
      <c r="F33" s="64">
        <f>F32/F36*1000</f>
        <v>108316.59924999987</v>
      </c>
      <c r="G33" s="47">
        <f t="shared" si="12"/>
        <v>11.643773349115296</v>
      </c>
      <c r="H33" s="48">
        <f t="shared" si="13"/>
        <v>1.5769115143251495</v>
      </c>
      <c r="I33" s="28">
        <f>I32*35%</f>
        <v>1146.0942500000001</v>
      </c>
      <c r="J33" s="28">
        <f>J32*35%</f>
        <v>431.26076615416747</v>
      </c>
      <c r="K33" s="28">
        <f>K32*35%</f>
        <v>5374.3172000000004</v>
      </c>
      <c r="L33" s="28">
        <f>L32*35%</f>
        <v>1248.9364999999941</v>
      </c>
      <c r="M33" s="27" t="s">
        <v>145</v>
      </c>
    </row>
    <row r="34" spans="1:13" ht="19.5" hidden="1" customHeight="1" x14ac:dyDescent="0.75">
      <c r="A34" s="43" t="s">
        <v>116</v>
      </c>
      <c r="B34" s="44" t="s">
        <v>100</v>
      </c>
      <c r="C34" s="93">
        <v>18435.78</v>
      </c>
      <c r="D34" s="46">
        <f>'[7]EMPLEO Y SALARIO'!I7</f>
        <v>11204.114999999993</v>
      </c>
      <c r="E34" s="46">
        <f>'[7]EMPLEO Y SALARIO'!J7</f>
        <v>4957.5600000000004</v>
      </c>
      <c r="F34" s="46">
        <f>'[7]PR B'!L30</f>
        <v>19158.199999999972</v>
      </c>
      <c r="G34" s="47">
        <f t="shared" si="12"/>
        <v>1.0391857572611505</v>
      </c>
      <c r="H34" s="48">
        <f t="shared" si="13"/>
        <v>0.44247671502836267</v>
      </c>
      <c r="I34" s="28">
        <f>I32-I33</f>
        <v>2128.4607500000002</v>
      </c>
      <c r="J34" s="28">
        <f>J32-J33</f>
        <v>800.91285142916831</v>
      </c>
      <c r="K34" s="28">
        <f>K32-K33</f>
        <v>9980.8748000000014</v>
      </c>
      <c r="L34" s="28">
        <f>L32-L33</f>
        <v>2319.4534999999896</v>
      </c>
      <c r="M34" s="27" t="s">
        <v>146</v>
      </c>
    </row>
    <row r="35" spans="1:13" ht="19.5" hidden="1" customHeight="1" x14ac:dyDescent="0.75">
      <c r="A35" s="43" t="s">
        <v>118</v>
      </c>
      <c r="B35" s="44"/>
      <c r="C35" s="93">
        <v>16597.29</v>
      </c>
      <c r="D35" s="46">
        <f>D34*88.5%</f>
        <v>9915.6417749999928</v>
      </c>
      <c r="E35" s="46">
        <f>E34*88.5%</f>
        <v>4387.4406000000008</v>
      </c>
      <c r="F35" s="46">
        <f>F34*88.5%</f>
        <v>16955.006999999976</v>
      </c>
      <c r="G35" s="47">
        <f t="shared" si="12"/>
        <v>1.0215527354164431</v>
      </c>
      <c r="H35" s="48">
        <f t="shared" si="13"/>
        <v>0.44247671502836278</v>
      </c>
      <c r="I35" s="28">
        <f>I34*60%</f>
        <v>1277.07645</v>
      </c>
      <c r="J35" s="28">
        <f>J34*60%</f>
        <v>480.54771085750099</v>
      </c>
      <c r="K35" s="28">
        <f>K34*60%</f>
        <v>5988.5248800000008</v>
      </c>
      <c r="L35" s="28">
        <f>L34*60%</f>
        <v>1391.6720999999936</v>
      </c>
      <c r="M35" s="27" t="s">
        <v>147</v>
      </c>
    </row>
    <row r="36" spans="1:13" ht="19.5" hidden="1" customHeight="1" x14ac:dyDescent="0.75">
      <c r="A36" s="43" t="s">
        <v>120</v>
      </c>
      <c r="B36" s="44" t="s">
        <v>121</v>
      </c>
      <c r="C36" s="94">
        <v>366</v>
      </c>
      <c r="D36" s="72">
        <f>'[7]EMPLEO Y SALARIO'!L7</f>
        <v>400</v>
      </c>
      <c r="E36" s="72">
        <f>'[7]EMPLEO Y SALARIO'!M7</f>
        <v>366</v>
      </c>
      <c r="F36" s="72">
        <v>400</v>
      </c>
      <c r="G36" s="47">
        <f t="shared" si="12"/>
        <v>1.0928961748633881</v>
      </c>
      <c r="H36" s="48">
        <f t="shared" si="13"/>
        <v>0.91500000000000004</v>
      </c>
      <c r="I36" s="28"/>
    </row>
    <row r="37" spans="1:13" ht="19.5" hidden="1" customHeight="1" x14ac:dyDescent="0.75">
      <c r="A37" s="43" t="s">
        <v>123</v>
      </c>
      <c r="B37" s="44" t="s">
        <v>124</v>
      </c>
      <c r="C37" s="93">
        <v>4197.5819672131147</v>
      </c>
      <c r="D37" s="64">
        <f>'[7]EMPLEO Y SALARIO'!F27</f>
        <v>4668.3812499999967</v>
      </c>
      <c r="E37" s="64">
        <f>'[7]EMPLEO Y SALARIO'!G27</f>
        <v>2257.5409836065573</v>
      </c>
      <c r="F37" s="64">
        <f>F34/F36/12*1000</f>
        <v>3991.2916666666606</v>
      </c>
      <c r="G37" s="47">
        <f t="shared" si="12"/>
        <v>0.95085496789395263</v>
      </c>
      <c r="H37" s="48">
        <f t="shared" si="13"/>
        <v>0.48358110932061493</v>
      </c>
      <c r="I37" s="49"/>
      <c r="J37" s="50"/>
    </row>
    <row r="38" spans="1:13" ht="19.5" hidden="1" customHeight="1" x14ac:dyDescent="0.75">
      <c r="A38" s="43" t="s">
        <v>127</v>
      </c>
      <c r="B38" s="44" t="s">
        <v>124</v>
      </c>
      <c r="C38" s="93">
        <v>32344.795081967211</v>
      </c>
      <c r="D38" s="77">
        <f>D28*1000/D36/2</f>
        <v>96005.008499999996</v>
      </c>
      <c r="E38" s="77">
        <f>E28*1000/E36/2</f>
        <v>121800.3825136612</v>
      </c>
      <c r="F38" s="77">
        <f>F28*1000/F36/12</f>
        <v>35134.472916666666</v>
      </c>
      <c r="G38" s="47">
        <f t="shared" si="12"/>
        <v>1.0862481220743534</v>
      </c>
      <c r="H38" s="48">
        <f t="shared" si="13"/>
        <v>1.2686877946962654</v>
      </c>
      <c r="I38" s="49"/>
      <c r="J38" s="50"/>
    </row>
    <row r="39" spans="1:13" ht="19.5" hidden="1" customHeight="1" x14ac:dyDescent="0.75">
      <c r="A39" s="79" t="s">
        <v>148</v>
      </c>
      <c r="B39" s="80" t="s">
        <v>129</v>
      </c>
      <c r="C39" s="95"/>
      <c r="D39" s="81"/>
      <c r="E39" s="82"/>
      <c r="F39" s="81"/>
      <c r="G39" s="96">
        <f>G37/G33</f>
        <v>8.1662098650022191E-2</v>
      </c>
      <c r="H39" s="96">
        <f>H37/H33</f>
        <v>0.30666343984910716</v>
      </c>
      <c r="I39" s="97"/>
      <c r="J39" s="98"/>
    </row>
    <row r="40" spans="1:13" ht="19.5" hidden="1" customHeight="1" x14ac:dyDescent="0.75">
      <c r="A40" s="79" t="s">
        <v>149</v>
      </c>
      <c r="B40" s="80" t="s">
        <v>129</v>
      </c>
      <c r="C40" s="95"/>
      <c r="D40" s="81"/>
      <c r="E40" s="82"/>
      <c r="F40" s="81"/>
      <c r="G40" s="96">
        <f>G34/G31</f>
        <v>0.95361519266904748</v>
      </c>
      <c r="H40" s="96">
        <f>H34/H31</f>
        <v>3.550643552049941E-2</v>
      </c>
      <c r="I40" s="97"/>
      <c r="J40" s="98"/>
    </row>
    <row r="41" spans="1:13" ht="19.5" hidden="1" customHeight="1" x14ac:dyDescent="0.75">
      <c r="A41" s="79" t="s">
        <v>133</v>
      </c>
      <c r="B41" s="80" t="s">
        <v>129</v>
      </c>
      <c r="C41" s="99">
        <v>5.3485102555919806</v>
      </c>
      <c r="D41" s="100">
        <f>D34/D31</f>
        <v>23.315301991569367</v>
      </c>
      <c r="E41" s="86">
        <f>E34/E31</f>
        <v>0.82784326680462916</v>
      </c>
      <c r="F41" s="86">
        <f>F34/F31</f>
        <v>13.766317511143653</v>
      </c>
      <c r="G41" s="87"/>
      <c r="H41" s="84"/>
      <c r="I41" s="84"/>
      <c r="J41" s="85"/>
    </row>
    <row r="42" spans="1:13" ht="19.5" hidden="1" customHeight="1" x14ac:dyDescent="0.75">
      <c r="A42" s="79" t="s">
        <v>135</v>
      </c>
      <c r="B42" s="80" t="s">
        <v>129</v>
      </c>
      <c r="C42" s="99">
        <v>7.2842421869148586</v>
      </c>
      <c r="D42" s="86">
        <f>D34/D32</f>
        <v>0.50010198169072639</v>
      </c>
      <c r="E42" s="86">
        <f>E34/E32</f>
        <v>0.15336299398063336</v>
      </c>
      <c r="F42" s="86">
        <f>F34/F32</f>
        <v>0.44218061065095693</v>
      </c>
      <c r="G42" s="87"/>
      <c r="H42" s="84"/>
      <c r="I42" s="84"/>
      <c r="J42" s="85"/>
    </row>
    <row r="43" spans="1:13" ht="19.5" hidden="1" customHeight="1" x14ac:dyDescent="0.75">
      <c r="A43" s="79" t="s">
        <v>138</v>
      </c>
      <c r="B43" s="80" t="s">
        <v>100</v>
      </c>
      <c r="C43" s="88"/>
      <c r="D43" s="89"/>
      <c r="E43" s="89"/>
      <c r="F43" s="89"/>
      <c r="G43" s="90"/>
      <c r="H43" s="91"/>
      <c r="I43" s="91"/>
      <c r="J43" s="85"/>
    </row>
    <row r="44" spans="1:13" ht="19.5" hidden="1" customHeight="1" x14ac:dyDescent="0.75">
      <c r="A44" s="79" t="s">
        <v>140</v>
      </c>
      <c r="B44" s="80" t="s">
        <v>100</v>
      </c>
      <c r="C44" s="88"/>
      <c r="D44" s="89"/>
      <c r="E44" s="89"/>
      <c r="F44" s="89"/>
      <c r="G44" s="90"/>
      <c r="H44" s="91"/>
      <c r="I44" s="91"/>
      <c r="J44" s="85"/>
    </row>
    <row r="45" spans="1:13" hidden="1" x14ac:dyDescent="0.6"/>
    <row r="46" spans="1:13" hidden="1" x14ac:dyDescent="0.6">
      <c r="A46" s="27" t="s">
        <v>150</v>
      </c>
    </row>
    <row r="47" spans="1:13" ht="12.75" hidden="1" customHeight="1" x14ac:dyDescent="0.6">
      <c r="A47" s="383" t="s">
        <v>81</v>
      </c>
      <c r="B47" s="384" t="s">
        <v>82</v>
      </c>
      <c r="C47" s="386" t="s">
        <v>83</v>
      </c>
      <c r="D47" s="388" t="s">
        <v>84</v>
      </c>
      <c r="E47" s="389"/>
      <c r="F47" s="383" t="s">
        <v>85</v>
      </c>
      <c r="G47" s="390" t="s">
        <v>86</v>
      </c>
      <c r="H47" s="391"/>
      <c r="I47" s="29"/>
      <c r="J47" s="30"/>
    </row>
    <row r="48" spans="1:13" ht="31.5" hidden="1" x14ac:dyDescent="0.6">
      <c r="A48" s="383"/>
      <c r="B48" s="385"/>
      <c r="C48" s="387"/>
      <c r="D48" s="32" t="s">
        <v>90</v>
      </c>
      <c r="E48" s="32" t="s">
        <v>91</v>
      </c>
      <c r="F48" s="383"/>
      <c r="G48" s="33" t="s">
        <v>92</v>
      </c>
      <c r="H48" s="34" t="s">
        <v>93</v>
      </c>
      <c r="I48" s="35"/>
      <c r="J48" s="36"/>
    </row>
    <row r="49" spans="1:12" hidden="1" x14ac:dyDescent="0.6">
      <c r="A49" s="38">
        <v>1</v>
      </c>
      <c r="B49" s="38">
        <v>2</v>
      </c>
      <c r="C49" s="39"/>
      <c r="D49" s="38">
        <v>8</v>
      </c>
      <c r="E49" s="38">
        <v>9</v>
      </c>
      <c r="F49" s="38">
        <v>5</v>
      </c>
      <c r="G49" s="40">
        <v>10</v>
      </c>
      <c r="H49" s="38">
        <v>11</v>
      </c>
      <c r="I49" s="41"/>
      <c r="J49" s="42"/>
    </row>
    <row r="50" spans="1:12" ht="19.5" hidden="1" customHeight="1" x14ac:dyDescent="0.75">
      <c r="A50" s="43" t="s">
        <v>99</v>
      </c>
      <c r="B50" s="44" t="s">
        <v>100</v>
      </c>
      <c r="C50" s="93">
        <v>332136.93</v>
      </c>
      <c r="D50" s="46">
        <f>[7]RESULTADO!C8</f>
        <v>103854.91124</v>
      </c>
      <c r="E50" s="46">
        <f>[7]RESULTADO!D8</f>
        <v>104685.92</v>
      </c>
      <c r="F50" s="46">
        <f>[7]ART!L9</f>
        <v>294471.3</v>
      </c>
      <c r="G50" s="47">
        <f>F50/C50</f>
        <v>0.88659607951455444</v>
      </c>
      <c r="H50" s="48">
        <f>E50/D50</f>
        <v>1.0080016317964935</v>
      </c>
      <c r="I50" s="49"/>
      <c r="J50" s="50"/>
    </row>
    <row r="51" spans="1:12" ht="19.5" hidden="1" customHeight="1" x14ac:dyDescent="0.75">
      <c r="A51" s="43" t="s">
        <v>105</v>
      </c>
      <c r="B51" s="44" t="s">
        <v>100</v>
      </c>
      <c r="C51" s="93">
        <v>331802.67</v>
      </c>
      <c r="D51" s="46">
        <f>[7]RESULTADO!P8</f>
        <v>103854.91124</v>
      </c>
      <c r="E51" s="46">
        <f>[7]RESULTADO!Q8</f>
        <v>104660.52</v>
      </c>
      <c r="F51" s="46">
        <f>[7]ART!L10</f>
        <v>294471.3</v>
      </c>
      <c r="G51" s="47">
        <f t="shared" ref="G51:G60" si="14">F51/C51</f>
        <v>0.88748924172310006</v>
      </c>
      <c r="H51" s="48">
        <f t="shared" ref="H51:H60" si="15">E51/D51</f>
        <v>1.0077570598287673</v>
      </c>
      <c r="I51" s="49"/>
      <c r="J51" s="50"/>
    </row>
    <row r="52" spans="1:12" ht="19.5" hidden="1" customHeight="1" x14ac:dyDescent="0.75">
      <c r="A52" s="43" t="s">
        <v>107</v>
      </c>
      <c r="B52" s="44" t="s">
        <v>100</v>
      </c>
      <c r="C52" s="93">
        <v>11579.53</v>
      </c>
      <c r="D52" s="46">
        <f>[7]RESULTADO!L8</f>
        <v>3254.7749442814238</v>
      </c>
      <c r="E52" s="46">
        <f>[7]RESULTADO!M8</f>
        <v>2513.3499999999913</v>
      </c>
      <c r="F52" s="46">
        <f>[7]ART!L35</f>
        <v>14730.800953681988</v>
      </c>
      <c r="G52" s="47">
        <f t="shared" si="14"/>
        <v>1.2721415250603425</v>
      </c>
      <c r="H52" s="48">
        <f t="shared" si="15"/>
        <v>0.77220392900464541</v>
      </c>
      <c r="I52" s="49"/>
      <c r="J52" s="50"/>
    </row>
    <row r="53" spans="1:12" ht="19.5" hidden="1" customHeight="1" x14ac:dyDescent="0.75">
      <c r="A53" s="63" t="s">
        <v>108</v>
      </c>
      <c r="B53" s="44" t="s">
        <v>100</v>
      </c>
      <c r="C53" s="65">
        <f>I57</f>
        <v>4290.2158650000001</v>
      </c>
      <c r="D53" s="65">
        <f>J57</f>
        <v>1205.8941168562676</v>
      </c>
      <c r="E53" s="65">
        <f>K57</f>
        <v>931.19617499999674</v>
      </c>
      <c r="F53" s="65">
        <f>L57</f>
        <v>5457.7617533391758</v>
      </c>
      <c r="G53" s="47">
        <f t="shared" si="14"/>
        <v>1.2721415250603423</v>
      </c>
      <c r="H53" s="48">
        <f t="shared" si="15"/>
        <v>0.7722039290046453</v>
      </c>
      <c r="I53" s="28">
        <f>C52*5%</f>
        <v>578.9765000000001</v>
      </c>
      <c r="J53" s="28">
        <f>D52*5%</f>
        <v>162.7387472140712</v>
      </c>
      <c r="K53" s="28">
        <f>E52*5%</f>
        <v>125.66749999999956</v>
      </c>
      <c r="L53" s="28">
        <f>F52*5%</f>
        <v>736.54004768409948</v>
      </c>
    </row>
    <row r="54" spans="1:12" ht="19.5" hidden="1" customHeight="1" x14ac:dyDescent="0.75">
      <c r="A54" s="43" t="s">
        <v>110</v>
      </c>
      <c r="B54" s="44" t="s">
        <v>100</v>
      </c>
      <c r="C54" s="93">
        <v>70871.089999999967</v>
      </c>
      <c r="D54" s="46">
        <f>'[7]EMPLEO Y SALARIO'!C8</f>
        <v>28080.942180681424</v>
      </c>
      <c r="E54" s="46">
        <f>'[7]EMPLEO Y SALARIO'!D8</f>
        <v>23280.159999999989</v>
      </c>
      <c r="F54" s="46">
        <f>[7]ART!L5+11500</f>
        <v>86045.852053681985</v>
      </c>
      <c r="G54" s="47">
        <f t="shared" si="14"/>
        <v>1.2141178025296637</v>
      </c>
      <c r="H54" s="48">
        <f t="shared" si="15"/>
        <v>0.82903770999592086</v>
      </c>
      <c r="I54" s="28">
        <f>C52-I53</f>
        <v>11000.5535</v>
      </c>
      <c r="J54" s="28">
        <f>D52-J53</f>
        <v>3092.0361970673525</v>
      </c>
      <c r="K54" s="28">
        <f>E52-K53</f>
        <v>2387.6824999999917</v>
      </c>
      <c r="L54" s="28">
        <f>F52-L53</f>
        <v>13994.260905997889</v>
      </c>
    </row>
    <row r="55" spans="1:12" ht="19.5" hidden="1" customHeight="1" x14ac:dyDescent="0.75">
      <c r="A55" s="43" t="s">
        <v>112</v>
      </c>
      <c r="B55" s="44" t="s">
        <v>113</v>
      </c>
      <c r="C55" s="64">
        <v>15749.131111111104</v>
      </c>
      <c r="D55" s="64">
        <f>'[7]EMPLEO Y SALARIO'!I28</f>
        <v>9360.3140602271415</v>
      </c>
      <c r="E55" s="64">
        <f>'[7]EMPLEO Y SALARIO'!J28</f>
        <v>10346.737777777773</v>
      </c>
      <c r="F55" s="64">
        <f>F54/F58*1000/12</f>
        <v>13842.640291776383</v>
      </c>
      <c r="G55" s="47">
        <f t="shared" si="14"/>
        <v>0.87894628561510413</v>
      </c>
      <c r="H55" s="48">
        <f t="shared" si="15"/>
        <v>1.1053836133278945</v>
      </c>
      <c r="I55" s="28">
        <f>I54*35%</f>
        <v>3850.1937249999996</v>
      </c>
      <c r="J55" s="28">
        <f>J54*35%</f>
        <v>1082.2126689735733</v>
      </c>
      <c r="K55" s="28">
        <f>K54*35%</f>
        <v>835.6888749999971</v>
      </c>
      <c r="L55" s="28">
        <f>L54*35%</f>
        <v>4897.9913170992613</v>
      </c>
    </row>
    <row r="56" spans="1:12" ht="19.5" hidden="1" customHeight="1" x14ac:dyDescent="0.75">
      <c r="A56" s="43" t="s">
        <v>116</v>
      </c>
      <c r="B56" s="44" t="s">
        <v>100</v>
      </c>
      <c r="C56" s="93">
        <v>16582.150000000001</v>
      </c>
      <c r="D56" s="46">
        <f>'[7]EMPLEO Y SALARIO'!I8</f>
        <v>9755.9</v>
      </c>
      <c r="E56" s="46">
        <f>'[7]EMPLEO Y SALARIO'!J8</f>
        <v>5962.61</v>
      </c>
      <c r="F56" s="46">
        <f>'[7]ART B '!L30</f>
        <v>20038.589999999997</v>
      </c>
      <c r="G56" s="47">
        <f t="shared" si="14"/>
        <v>1.2084434165654028</v>
      </c>
      <c r="H56" s="48">
        <f t="shared" si="15"/>
        <v>0.61117990139300316</v>
      </c>
      <c r="I56" s="28">
        <f>I54-I55</f>
        <v>7150.3597750000008</v>
      </c>
      <c r="J56" s="28">
        <f>J54-J55</f>
        <v>2009.8235280937793</v>
      </c>
      <c r="K56" s="28">
        <f>K54-K55</f>
        <v>1551.9936249999946</v>
      </c>
      <c r="L56" s="28">
        <f>L54-L55</f>
        <v>9096.2695888986273</v>
      </c>
    </row>
    <row r="57" spans="1:12" ht="19.5" hidden="1" customHeight="1" x14ac:dyDescent="0.75">
      <c r="A57" s="43" t="s">
        <v>118</v>
      </c>
      <c r="B57" s="44" t="s">
        <v>100</v>
      </c>
      <c r="C57" s="93">
        <v>14361.95</v>
      </c>
      <c r="D57" s="46">
        <f>D56*88.5%</f>
        <v>8633.9714999999997</v>
      </c>
      <c r="E57" s="46">
        <f>E56*88.5%</f>
        <v>5276.90985</v>
      </c>
      <c r="F57" s="46">
        <f>F56*88.5%</f>
        <v>17734.152149999998</v>
      </c>
      <c r="G57" s="47">
        <f t="shared" si="14"/>
        <v>1.2348011342470901</v>
      </c>
      <c r="H57" s="48">
        <f t="shared" si="15"/>
        <v>0.61117990139300327</v>
      </c>
      <c r="I57" s="28">
        <f>I56*60%</f>
        <v>4290.2158650000001</v>
      </c>
      <c r="J57" s="28">
        <f>J56*60%</f>
        <v>1205.8941168562676</v>
      </c>
      <c r="K57" s="28">
        <f>K56*60%</f>
        <v>931.19617499999674</v>
      </c>
      <c r="L57" s="28">
        <f>L56*60%</f>
        <v>5457.7617533391758</v>
      </c>
    </row>
    <row r="58" spans="1:12" ht="19.5" hidden="1" customHeight="1" x14ac:dyDescent="0.75">
      <c r="A58" s="43" t="s">
        <v>120</v>
      </c>
      <c r="B58" s="44" t="s">
        <v>121</v>
      </c>
      <c r="C58" s="94">
        <v>375</v>
      </c>
      <c r="D58" s="72">
        <f>'[7]EMPLEO Y SALARIO'!L8</f>
        <v>500</v>
      </c>
      <c r="E58" s="72">
        <f>'[7]EMPLEO Y SALARIO'!M8</f>
        <v>375</v>
      </c>
      <c r="F58" s="72">
        <v>518</v>
      </c>
      <c r="G58" s="47">
        <f t="shared" si="14"/>
        <v>1.3813333333333333</v>
      </c>
      <c r="H58" s="48">
        <f t="shared" si="15"/>
        <v>0.75</v>
      </c>
      <c r="I58" s="49"/>
      <c r="J58" s="50"/>
    </row>
    <row r="59" spans="1:12" ht="19.5" hidden="1" customHeight="1" x14ac:dyDescent="0.75">
      <c r="A59" s="43" t="s">
        <v>123</v>
      </c>
      <c r="B59" s="44" t="s">
        <v>124</v>
      </c>
      <c r="C59" s="93">
        <v>3684.9222222222224</v>
      </c>
      <c r="D59" s="64">
        <f>'[7]EMPLEO Y SALARIO'!F28</f>
        <v>3251.9666666666667</v>
      </c>
      <c r="E59" s="64">
        <f>'[7]EMPLEO Y SALARIO'!G28</f>
        <v>2650.048888888889</v>
      </c>
      <c r="F59" s="64">
        <f>F56/F58/12*1000</f>
        <v>3223.7113899613892</v>
      </c>
      <c r="G59" s="47">
        <f t="shared" si="14"/>
        <v>0.87483838071819697</v>
      </c>
      <c r="H59" s="48">
        <f t="shared" si="15"/>
        <v>0.81490653519067102</v>
      </c>
      <c r="I59" s="49"/>
      <c r="J59" s="50"/>
    </row>
    <row r="60" spans="1:12" ht="19.5" hidden="1" customHeight="1" x14ac:dyDescent="0.75">
      <c r="A60" s="43" t="s">
        <v>127</v>
      </c>
      <c r="B60" s="44" t="s">
        <v>124</v>
      </c>
      <c r="C60" s="93">
        <v>73808.206666666665</v>
      </c>
      <c r="D60" s="77">
        <f>D50*1000/D58/2</f>
        <v>103854.91124</v>
      </c>
      <c r="E60" s="77">
        <f>E50*1000/E58/2</f>
        <v>139581.22666666665</v>
      </c>
      <c r="F60" s="77">
        <f>F50*1000/F58/12</f>
        <v>47373.117760617759</v>
      </c>
      <c r="G60" s="47">
        <f t="shared" si="14"/>
        <v>0.64184079115435888</v>
      </c>
      <c r="H60" s="48">
        <f t="shared" si="15"/>
        <v>1.344002175728658</v>
      </c>
      <c r="I60" s="49"/>
      <c r="J60" s="50"/>
    </row>
    <row r="61" spans="1:12" ht="19.5" hidden="1" customHeight="1" x14ac:dyDescent="0.75">
      <c r="A61" s="79" t="s">
        <v>148</v>
      </c>
      <c r="B61" s="80" t="s">
        <v>129</v>
      </c>
      <c r="C61" s="95"/>
      <c r="D61" s="81"/>
      <c r="E61" s="82"/>
      <c r="F61" s="81"/>
      <c r="G61" s="96">
        <f>G59/G55</f>
        <v>0.99532632998837656</v>
      </c>
      <c r="H61" s="96">
        <f>H59/H55</f>
        <v>0.73721604460671697</v>
      </c>
      <c r="I61" s="101"/>
      <c r="J61" s="102"/>
    </row>
    <row r="62" spans="1:12" ht="19.5" hidden="1" customHeight="1" x14ac:dyDescent="0.75">
      <c r="A62" s="79" t="s">
        <v>149</v>
      </c>
      <c r="B62" s="80" t="s">
        <v>129</v>
      </c>
      <c r="C62" s="95"/>
      <c r="D62" s="81"/>
      <c r="E62" s="82"/>
      <c r="F62" s="81"/>
      <c r="G62" s="96">
        <f>G56/G53</f>
        <v>0.949928441733778</v>
      </c>
      <c r="H62" s="96">
        <f>H56/H53</f>
        <v>0.79147473670692303</v>
      </c>
      <c r="I62" s="101"/>
      <c r="J62" s="102"/>
    </row>
    <row r="63" spans="1:12" ht="19.5" hidden="1" customHeight="1" x14ac:dyDescent="0.75">
      <c r="A63" s="79" t="s">
        <v>151</v>
      </c>
      <c r="B63" s="80" t="s">
        <v>129</v>
      </c>
      <c r="C63" s="103">
        <v>3.8651085450685128</v>
      </c>
      <c r="D63" s="86">
        <f>D56/D53</f>
        <v>8.0901796133091342</v>
      </c>
      <c r="E63" s="86">
        <f>E56/E53</f>
        <v>6.4031727793555646</v>
      </c>
      <c r="F63" s="86">
        <f>F56/F53</f>
        <v>3.6715765373488423</v>
      </c>
      <c r="G63" s="87"/>
      <c r="H63" s="84"/>
      <c r="I63" s="84"/>
      <c r="J63" s="85"/>
    </row>
    <row r="64" spans="1:12" ht="19.5" hidden="1" customHeight="1" x14ac:dyDescent="0.75">
      <c r="A64" s="79" t="s">
        <v>135</v>
      </c>
      <c r="B64" s="80" t="s">
        <v>129</v>
      </c>
      <c r="C64" s="103">
        <v>0.23397622359131218</v>
      </c>
      <c r="D64" s="86">
        <f>D56/D54</f>
        <v>0.34742067902236101</v>
      </c>
      <c r="E64" s="86">
        <f>E56/E54</f>
        <v>0.25612409880344478</v>
      </c>
      <c r="F64" s="86">
        <f>F56/F54</f>
        <v>0.23288269593168059</v>
      </c>
      <c r="G64" s="87"/>
      <c r="H64" s="84"/>
      <c r="I64" s="84"/>
      <c r="J64" s="85"/>
    </row>
    <row r="65" spans="1:12" ht="19.5" hidden="1" customHeight="1" x14ac:dyDescent="0.75">
      <c r="A65" s="79" t="s">
        <v>152</v>
      </c>
      <c r="B65" s="80" t="s">
        <v>100</v>
      </c>
      <c r="C65" s="88"/>
      <c r="D65" s="89"/>
      <c r="E65" s="89"/>
      <c r="F65" s="89"/>
      <c r="G65" s="104"/>
      <c r="H65" s="91"/>
      <c r="I65" s="91"/>
      <c r="J65" s="85"/>
    </row>
    <row r="66" spans="1:12" ht="19.5" hidden="1" customHeight="1" x14ac:dyDescent="0.75">
      <c r="A66" s="79" t="s">
        <v>140</v>
      </c>
      <c r="B66" s="80" t="s">
        <v>100</v>
      </c>
      <c r="C66" s="88"/>
      <c r="D66" s="89"/>
      <c r="E66" s="89"/>
      <c r="F66" s="89"/>
      <c r="G66" s="104"/>
      <c r="H66" s="91"/>
      <c r="I66" s="91"/>
      <c r="J66" s="85"/>
    </row>
    <row r="67" spans="1:12" hidden="1" x14ac:dyDescent="0.6"/>
    <row r="68" spans="1:12" hidden="1" x14ac:dyDescent="0.6">
      <c r="A68" s="27" t="s">
        <v>153</v>
      </c>
    </row>
    <row r="69" spans="1:12" ht="12.75" hidden="1" customHeight="1" x14ac:dyDescent="0.6">
      <c r="A69" s="383" t="s">
        <v>81</v>
      </c>
      <c r="B69" s="384" t="s">
        <v>82</v>
      </c>
      <c r="C69" s="386" t="s">
        <v>83</v>
      </c>
      <c r="D69" s="388" t="s">
        <v>84</v>
      </c>
      <c r="E69" s="389"/>
      <c r="F69" s="383" t="s">
        <v>85</v>
      </c>
      <c r="G69" s="390" t="s">
        <v>86</v>
      </c>
      <c r="H69" s="391"/>
      <c r="I69" s="29"/>
      <c r="J69" s="30"/>
    </row>
    <row r="70" spans="1:12" ht="31.5" hidden="1" x14ac:dyDescent="0.6">
      <c r="A70" s="383"/>
      <c r="B70" s="385"/>
      <c r="C70" s="387"/>
      <c r="D70" s="32" t="s">
        <v>90</v>
      </c>
      <c r="E70" s="32" t="s">
        <v>91</v>
      </c>
      <c r="F70" s="383"/>
      <c r="G70" s="33" t="s">
        <v>92</v>
      </c>
      <c r="H70" s="34" t="s">
        <v>93</v>
      </c>
      <c r="I70" s="35"/>
      <c r="J70" s="36"/>
    </row>
    <row r="71" spans="1:12" hidden="1" x14ac:dyDescent="0.6">
      <c r="A71" s="38">
        <v>1</v>
      </c>
      <c r="B71" s="38">
        <v>2</v>
      </c>
      <c r="C71" s="39"/>
      <c r="D71" s="38">
        <v>8</v>
      </c>
      <c r="E71" s="38">
        <v>9</v>
      </c>
      <c r="F71" s="38">
        <v>5</v>
      </c>
      <c r="G71" s="40">
        <v>10</v>
      </c>
      <c r="H71" s="38">
        <v>11</v>
      </c>
      <c r="I71" s="41"/>
      <c r="J71" s="42"/>
    </row>
    <row r="72" spans="1:12" ht="19.5" hidden="1" customHeight="1" x14ac:dyDescent="0.75">
      <c r="A72" s="43" t="s">
        <v>99</v>
      </c>
      <c r="B72" s="44" t="s">
        <v>100</v>
      </c>
      <c r="C72" s="93">
        <v>197321.38</v>
      </c>
      <c r="D72" s="46">
        <f>[7]RESULTADO!C9</f>
        <v>76602.318568439659</v>
      </c>
      <c r="E72" s="46">
        <f>[7]RESULTADO!D9</f>
        <v>111410.94</v>
      </c>
      <c r="F72" s="46">
        <f>[7]HAB!L9</f>
        <v>199990.01000000004</v>
      </c>
      <c r="G72" s="47">
        <f>F72/C72</f>
        <v>1.013524282062086</v>
      </c>
      <c r="H72" s="48">
        <f>E72/D72</f>
        <v>1.4544068910977008</v>
      </c>
      <c r="I72" s="49"/>
      <c r="J72" s="50"/>
    </row>
    <row r="73" spans="1:12" ht="19.5" hidden="1" customHeight="1" x14ac:dyDescent="0.75">
      <c r="A73" s="43" t="s">
        <v>105</v>
      </c>
      <c r="B73" s="44" t="s">
        <v>100</v>
      </c>
      <c r="C73" s="93">
        <v>196253.75</v>
      </c>
      <c r="D73" s="46">
        <f>[7]RESULTADO!P9</f>
        <v>76602.318568439659</v>
      </c>
      <c r="E73" s="46">
        <f>[7]RESULTADO!Q9</f>
        <v>111046.73</v>
      </c>
      <c r="F73" s="46">
        <f>[7]HAB!L10</f>
        <v>199990.01000000004</v>
      </c>
      <c r="G73" s="47">
        <f t="shared" ref="G73:G82" si="16">F73/C73</f>
        <v>1.0190379037343238</v>
      </c>
      <c r="H73" s="48">
        <f t="shared" ref="H73:H82" si="17">E73/D73</f>
        <v>1.4496523352721535</v>
      </c>
      <c r="I73" s="49"/>
      <c r="J73" s="50"/>
    </row>
    <row r="74" spans="1:12" ht="19.5" hidden="1" customHeight="1" x14ac:dyDescent="0.75">
      <c r="A74" s="43" t="s">
        <v>107</v>
      </c>
      <c r="B74" s="44" t="s">
        <v>100</v>
      </c>
      <c r="C74" s="93">
        <v>19791.080000000016</v>
      </c>
      <c r="D74" s="46">
        <f>[7]RESULTADO!L9</f>
        <v>4030.0476596854132</v>
      </c>
      <c r="E74" s="46">
        <f>[7]RESULTADO!M9</f>
        <v>14020.669999999998</v>
      </c>
      <c r="F74" s="46">
        <f>[7]HAB!L35</f>
        <v>19999.000000000058</v>
      </c>
      <c r="G74" s="47">
        <f t="shared" si="16"/>
        <v>1.0105057429912891</v>
      </c>
      <c r="H74" s="48">
        <f t="shared" si="17"/>
        <v>3.4790332978579355</v>
      </c>
      <c r="I74" s="49"/>
      <c r="J74" s="50"/>
    </row>
    <row r="75" spans="1:12" ht="19.5" hidden="1" customHeight="1" x14ac:dyDescent="0.75">
      <c r="A75" s="63" t="s">
        <v>108</v>
      </c>
      <c r="B75" s="44" t="s">
        <v>100</v>
      </c>
      <c r="C75" s="65">
        <f>I79</f>
        <v>7332.5951400000067</v>
      </c>
      <c r="D75" s="65">
        <f>J79</f>
        <v>1493.1326579134454</v>
      </c>
      <c r="E75" s="65">
        <f>K79</f>
        <v>5194.6582349999999</v>
      </c>
      <c r="F75" s="65">
        <f>L79</f>
        <v>7409.6295000000209</v>
      </c>
      <c r="G75" s="47">
        <f t="shared" si="16"/>
        <v>1.0105057429912889</v>
      </c>
      <c r="H75" s="48">
        <f t="shared" si="17"/>
        <v>3.4790332978579364</v>
      </c>
      <c r="I75" s="28">
        <f>C74*5%</f>
        <v>989.55400000000088</v>
      </c>
      <c r="J75" s="28">
        <f>D74*5%</f>
        <v>201.50238298427067</v>
      </c>
      <c r="K75" s="28">
        <f>E74*5%</f>
        <v>701.0335</v>
      </c>
      <c r="L75" s="28">
        <f>F74*5%</f>
        <v>999.950000000003</v>
      </c>
    </row>
    <row r="76" spans="1:12" ht="19.5" hidden="1" customHeight="1" x14ac:dyDescent="0.75">
      <c r="A76" s="43" t="s">
        <v>110</v>
      </c>
      <c r="B76" s="44" t="s">
        <v>100</v>
      </c>
      <c r="C76" s="93">
        <v>60319.780000000013</v>
      </c>
      <c r="D76" s="46">
        <f>'[7]EMPLEO Y SALARIO'!C10</f>
        <v>22352.922702213778</v>
      </c>
      <c r="E76" s="46">
        <f>'[7]EMPLEO Y SALARIO'!D10</f>
        <v>37554.97</v>
      </c>
      <c r="F76" s="46">
        <f>[7]HAB!L5</f>
        <v>64735.561100000064</v>
      </c>
      <c r="G76" s="47">
        <f t="shared" si="16"/>
        <v>1.0732061870915319</v>
      </c>
      <c r="H76" s="48">
        <f t="shared" si="17"/>
        <v>1.6800921517203049</v>
      </c>
      <c r="I76" s="28">
        <f>C74-I75</f>
        <v>18801.526000000016</v>
      </c>
      <c r="J76" s="28">
        <f>D74-J75</f>
        <v>3828.5452767011425</v>
      </c>
      <c r="K76" s="28">
        <f>E74-K75</f>
        <v>13319.636499999999</v>
      </c>
      <c r="L76" s="28">
        <f>F74-L75</f>
        <v>18999.050000000054</v>
      </c>
    </row>
    <row r="77" spans="1:12" ht="19.5" hidden="1" customHeight="1" x14ac:dyDescent="0.75">
      <c r="A77" s="43" t="s">
        <v>112</v>
      </c>
      <c r="B77" s="44" t="s">
        <v>113</v>
      </c>
      <c r="C77" s="93">
        <v>22241.806784660774</v>
      </c>
      <c r="D77" s="64">
        <f>'[7]EMPLEO Y SALARIO'!I30</f>
        <v>22578.709800215936</v>
      </c>
      <c r="E77" s="64">
        <f>'[7]EMPLEO Y SALARIO'!J30</f>
        <v>27695.405604719766</v>
      </c>
      <c r="F77" s="64">
        <f>F76/F80*1000/12</f>
        <v>32694.727828282859</v>
      </c>
      <c r="G77" s="47">
        <f t="shared" si="16"/>
        <v>1.4699672623193103</v>
      </c>
      <c r="H77" s="48">
        <f t="shared" si="17"/>
        <v>1.2266159514772139</v>
      </c>
      <c r="I77" s="28">
        <f>I76*35%</f>
        <v>6580.5341000000053</v>
      </c>
      <c r="J77" s="28">
        <f>J76*35%</f>
        <v>1339.9908468453998</v>
      </c>
      <c r="K77" s="28">
        <f>K76*35%</f>
        <v>4661.8727749999989</v>
      </c>
      <c r="L77" s="28">
        <f>L76*35%</f>
        <v>6649.6675000000187</v>
      </c>
    </row>
    <row r="78" spans="1:12" ht="19.5" hidden="1" customHeight="1" x14ac:dyDescent="0.75">
      <c r="A78" s="43" t="s">
        <v>116</v>
      </c>
      <c r="B78" s="44" t="s">
        <v>100</v>
      </c>
      <c r="C78" s="93">
        <v>15316.97</v>
      </c>
      <c r="D78" s="46">
        <f>'[7]EMPLEO Y SALARIO'!I10</f>
        <v>8300</v>
      </c>
      <c r="E78" s="46">
        <f>'[7]EMPLEO Y SALARIO'!J10</f>
        <v>7884.9</v>
      </c>
      <c r="F78" s="46">
        <f>'[7]HAB B'!L30-3700</f>
        <v>15400</v>
      </c>
      <c r="G78" s="47">
        <f t="shared" si="16"/>
        <v>1.0054207849202552</v>
      </c>
      <c r="H78" s="48">
        <f t="shared" si="17"/>
        <v>0.94998795180722884</v>
      </c>
      <c r="I78" s="28">
        <f>I76-I77</f>
        <v>12220.991900000012</v>
      </c>
      <c r="J78" s="28">
        <f>J76-J77</f>
        <v>2488.5544298557425</v>
      </c>
      <c r="K78" s="28">
        <f>K76-K77</f>
        <v>8657.7637250000007</v>
      </c>
      <c r="L78" s="28">
        <f>L76-L77</f>
        <v>12349.382500000036</v>
      </c>
    </row>
    <row r="79" spans="1:12" ht="19.5" hidden="1" customHeight="1" x14ac:dyDescent="0.75">
      <c r="A79" s="43" t="s">
        <v>118</v>
      </c>
      <c r="B79" s="44" t="s">
        <v>100</v>
      </c>
      <c r="C79" s="93">
        <v>13433.41</v>
      </c>
      <c r="D79" s="46">
        <f>D78*88.5%</f>
        <v>7345.5</v>
      </c>
      <c r="E79" s="46">
        <f>E78*88.5%</f>
        <v>6978.1364999999996</v>
      </c>
      <c r="F79" s="46">
        <f>F78*88.5%</f>
        <v>13629</v>
      </c>
      <c r="G79" s="47">
        <f t="shared" si="16"/>
        <v>1.0145599665312084</v>
      </c>
      <c r="H79" s="48">
        <f t="shared" si="17"/>
        <v>0.94998795180722884</v>
      </c>
      <c r="I79" s="28">
        <f>I78*60%</f>
        <v>7332.5951400000067</v>
      </c>
      <c r="J79" s="28">
        <f>J78*60%</f>
        <v>1493.1326579134454</v>
      </c>
      <c r="K79" s="28">
        <f>K78*60%</f>
        <v>5194.6582349999999</v>
      </c>
      <c r="L79" s="28">
        <f>L78*60%</f>
        <v>7409.6295000000209</v>
      </c>
    </row>
    <row r="80" spans="1:12" ht="19.5" hidden="1" customHeight="1" x14ac:dyDescent="0.75">
      <c r="A80" s="43" t="s">
        <v>120</v>
      </c>
      <c r="B80" s="44" t="s">
        <v>121</v>
      </c>
      <c r="C80" s="94">
        <v>226</v>
      </c>
      <c r="D80" s="105">
        <f>[7]HAB!J56</f>
        <v>165</v>
      </c>
      <c r="E80" s="105">
        <f>[7]HAB!K56</f>
        <v>226</v>
      </c>
      <c r="F80" s="105">
        <f>'[7]EMPLEO Y SALARIO'!L10</f>
        <v>165</v>
      </c>
      <c r="G80" s="47">
        <f t="shared" si="16"/>
        <v>0.73008849557522126</v>
      </c>
      <c r="H80" s="48">
        <f t="shared" si="17"/>
        <v>1.3696969696969696</v>
      </c>
      <c r="I80" s="49"/>
      <c r="J80" s="50"/>
    </row>
    <row r="81" spans="1:10" ht="19.5" hidden="1" customHeight="1" x14ac:dyDescent="0.75">
      <c r="A81" s="43" t="s">
        <v>123</v>
      </c>
      <c r="B81" s="44" t="s">
        <v>124</v>
      </c>
      <c r="C81" s="93">
        <v>5647.8502949852509</v>
      </c>
      <c r="D81" s="64">
        <f>'[7]EMPLEO Y SALARIO'!F30</f>
        <v>8383.8383838383834</v>
      </c>
      <c r="E81" s="64">
        <f>'[7]EMPLEO Y SALARIO'!G30</f>
        <v>5814.8230088495575</v>
      </c>
      <c r="F81" s="64">
        <f>F78/12*1000/F80</f>
        <v>7777.7777777777774</v>
      </c>
      <c r="G81" s="47">
        <f t="shared" si="16"/>
        <v>1.377121802375622</v>
      </c>
      <c r="H81" s="48">
        <f t="shared" si="17"/>
        <v>0.69357527454952561</v>
      </c>
      <c r="I81" s="49"/>
      <c r="J81" s="50"/>
    </row>
    <row r="82" spans="1:10" ht="19.5" hidden="1" customHeight="1" x14ac:dyDescent="0.75">
      <c r="A82" s="43" t="s">
        <v>127</v>
      </c>
      <c r="B82" s="44" t="s">
        <v>124</v>
      </c>
      <c r="C82" s="93">
        <v>72758.620943952803</v>
      </c>
      <c r="D82" s="77">
        <f>D72*1000/D80/2</f>
        <v>232128.23808618079</v>
      </c>
      <c r="E82" s="77">
        <f>E72*1000/E80/2</f>
        <v>246484.38053097346</v>
      </c>
      <c r="F82" s="77">
        <f>F72*1000/12/F80</f>
        <v>101005.05555555558</v>
      </c>
      <c r="G82" s="47">
        <f t="shared" si="16"/>
        <v>1.3882211378547358</v>
      </c>
      <c r="H82" s="48">
        <f t="shared" si="17"/>
        <v>1.061845739075755</v>
      </c>
      <c r="I82" s="49"/>
      <c r="J82" s="50"/>
    </row>
    <row r="83" spans="1:10" ht="19.5" hidden="1" customHeight="1" x14ac:dyDescent="0.75">
      <c r="A83" s="79" t="s">
        <v>148</v>
      </c>
      <c r="B83" s="80" t="s">
        <v>129</v>
      </c>
      <c r="C83" s="95"/>
      <c r="D83" s="81"/>
      <c r="E83" s="82"/>
      <c r="F83" s="81"/>
      <c r="G83" s="96">
        <f>G81/G77</f>
        <v>0.936838416525551</v>
      </c>
      <c r="H83" s="96">
        <f>H81/H77</f>
        <v>0.56543800340624362</v>
      </c>
      <c r="I83" s="101"/>
      <c r="J83" s="102"/>
    </row>
    <row r="84" spans="1:10" ht="19.5" hidden="1" customHeight="1" x14ac:dyDescent="0.75">
      <c r="A84" s="79" t="s">
        <v>149</v>
      </c>
      <c r="B84" s="80" t="s">
        <v>129</v>
      </c>
      <c r="C84" s="95"/>
      <c r="D84" s="81"/>
      <c r="E84" s="82"/>
      <c r="F84" s="81"/>
      <c r="G84" s="96">
        <f>G78/G75</f>
        <v>0.99496790779636612</v>
      </c>
      <c r="H84" s="96">
        <f>H78/H75</f>
        <v>0.27306089665544236</v>
      </c>
      <c r="I84" s="101"/>
      <c r="J84" s="102"/>
    </row>
    <row r="85" spans="1:10" ht="19.5" hidden="1" customHeight="1" x14ac:dyDescent="0.75">
      <c r="A85" s="79" t="s">
        <v>133</v>
      </c>
      <c r="B85" s="80" t="s">
        <v>129</v>
      </c>
      <c r="C85" s="99">
        <v>2.0888880004358166</v>
      </c>
      <c r="D85" s="86">
        <f>D78/D75</f>
        <v>5.5587827082951247</v>
      </c>
      <c r="E85" s="86">
        <f>E78/E75</f>
        <v>1.5178861906398351</v>
      </c>
      <c r="F85" s="86">
        <f>F78/F75</f>
        <v>2.0783765234145588</v>
      </c>
      <c r="G85" s="87"/>
      <c r="H85" s="84"/>
      <c r="I85" s="84"/>
      <c r="J85" s="85"/>
    </row>
    <row r="86" spans="1:10" ht="19.5" hidden="1" customHeight="1" x14ac:dyDescent="0.75">
      <c r="A86" s="79" t="s">
        <v>135</v>
      </c>
      <c r="B86" s="80" t="s">
        <v>129</v>
      </c>
      <c r="C86" s="99">
        <v>0.25392947388070708</v>
      </c>
      <c r="D86" s="86">
        <f>D78/D76</f>
        <v>0.37131609635897805</v>
      </c>
      <c r="E86" s="86">
        <f>E78/E76</f>
        <v>0.20995623215782092</v>
      </c>
      <c r="F86" s="86">
        <f>F78/F76</f>
        <v>0.23789088621956789</v>
      </c>
      <c r="G86" s="87"/>
      <c r="H86" s="84"/>
      <c r="I86" s="84"/>
      <c r="J86" s="85"/>
    </row>
    <row r="87" spans="1:10" ht="19.5" hidden="1" customHeight="1" x14ac:dyDescent="0.75">
      <c r="A87" s="79" t="s">
        <v>152</v>
      </c>
      <c r="B87" s="80" t="s">
        <v>100</v>
      </c>
      <c r="C87" s="88"/>
      <c r="D87" s="89"/>
      <c r="E87" s="89"/>
      <c r="F87" s="89"/>
      <c r="G87" s="90"/>
      <c r="H87" s="91"/>
      <c r="I87" s="91"/>
      <c r="J87" s="85"/>
    </row>
    <row r="88" spans="1:10" ht="19.5" hidden="1" customHeight="1" x14ac:dyDescent="0.75">
      <c r="A88" s="79" t="s">
        <v>140</v>
      </c>
      <c r="B88" s="80" t="s">
        <v>100</v>
      </c>
      <c r="C88" s="88"/>
      <c r="D88" s="89"/>
      <c r="E88" s="89"/>
      <c r="F88" s="89"/>
      <c r="G88" s="90"/>
      <c r="H88" s="91"/>
      <c r="I88" s="91"/>
      <c r="J88" s="85"/>
    </row>
    <row r="89" spans="1:10" hidden="1" x14ac:dyDescent="0.6"/>
    <row r="90" spans="1:10" hidden="1" x14ac:dyDescent="0.6">
      <c r="A90" s="27" t="s">
        <v>154</v>
      </c>
    </row>
    <row r="91" spans="1:10" ht="12.75" hidden="1" customHeight="1" x14ac:dyDescent="0.6">
      <c r="A91" s="383" t="s">
        <v>81</v>
      </c>
      <c r="B91" s="384" t="s">
        <v>82</v>
      </c>
      <c r="C91" s="386" t="s">
        <v>83</v>
      </c>
      <c r="D91" s="388" t="s">
        <v>84</v>
      </c>
      <c r="E91" s="389"/>
      <c r="F91" s="383" t="s">
        <v>85</v>
      </c>
      <c r="G91" s="390" t="s">
        <v>86</v>
      </c>
      <c r="H91" s="391"/>
      <c r="I91" s="29"/>
      <c r="J91" s="30"/>
    </row>
    <row r="92" spans="1:10" ht="31.5" hidden="1" x14ac:dyDescent="0.6">
      <c r="A92" s="383"/>
      <c r="B92" s="385"/>
      <c r="C92" s="387"/>
      <c r="D92" s="32" t="s">
        <v>90</v>
      </c>
      <c r="E92" s="32" t="s">
        <v>91</v>
      </c>
      <c r="F92" s="383"/>
      <c r="G92" s="33" t="s">
        <v>92</v>
      </c>
      <c r="H92" s="34" t="s">
        <v>93</v>
      </c>
      <c r="I92" s="35"/>
      <c r="J92" s="36"/>
    </row>
    <row r="93" spans="1:10" hidden="1" x14ac:dyDescent="0.6">
      <c r="A93" s="38">
        <v>1</v>
      </c>
      <c r="B93" s="38">
        <v>2</v>
      </c>
      <c r="C93" s="39"/>
      <c r="D93" s="38">
        <v>8</v>
      </c>
      <c r="E93" s="38">
        <v>9</v>
      </c>
      <c r="F93" s="38">
        <v>5</v>
      </c>
      <c r="G93" s="40">
        <v>10</v>
      </c>
      <c r="H93" s="38">
        <v>11</v>
      </c>
      <c r="I93" s="41"/>
      <c r="J93" s="42"/>
    </row>
    <row r="94" spans="1:10" ht="19.5" hidden="1" customHeight="1" x14ac:dyDescent="0.75">
      <c r="A94" s="43" t="s">
        <v>99</v>
      </c>
      <c r="B94" s="44" t="s">
        <v>100</v>
      </c>
      <c r="C94" s="93">
        <v>42217.86</v>
      </c>
      <c r="D94" s="46">
        <f>[7]OC!J9</f>
        <v>19635.282907518787</v>
      </c>
      <c r="E94" s="46">
        <f>[7]OC!K9</f>
        <v>16945.77</v>
      </c>
      <c r="F94" s="46">
        <f>[7]OC!L9</f>
        <v>45584.129999999903</v>
      </c>
      <c r="G94" s="47">
        <f>F94/C94</f>
        <v>1.0797356853236972</v>
      </c>
      <c r="H94" s="48">
        <f>E94/D94</f>
        <v>0.86302652626976351</v>
      </c>
      <c r="I94" s="49"/>
      <c r="J94" s="50"/>
    </row>
    <row r="95" spans="1:10" ht="19.5" hidden="1" customHeight="1" x14ac:dyDescent="0.75">
      <c r="A95" s="43" t="s">
        <v>105</v>
      </c>
      <c r="B95" s="44" t="s">
        <v>100</v>
      </c>
      <c r="C95" s="93"/>
      <c r="D95" s="46"/>
      <c r="E95" s="46"/>
      <c r="F95" s="46"/>
      <c r="G95" s="47" t="e">
        <f t="shared" ref="G95:G104" si="18">F95/C95</f>
        <v>#DIV/0!</v>
      </c>
      <c r="H95" s="48" t="e">
        <f t="shared" ref="H95:H104" si="19">E95/D95</f>
        <v>#DIV/0!</v>
      </c>
      <c r="I95" s="49"/>
      <c r="J95" s="50"/>
    </row>
    <row r="96" spans="1:10" ht="19.5" hidden="1" customHeight="1" x14ac:dyDescent="0.75">
      <c r="A96" s="43" t="s">
        <v>107</v>
      </c>
      <c r="B96" s="44" t="s">
        <v>100</v>
      </c>
      <c r="C96" s="93">
        <v>3951.1299999999974</v>
      </c>
      <c r="D96" s="46">
        <f>[7]OC!J35</f>
        <v>-6.6348685577395372E-3</v>
      </c>
      <c r="E96" s="46">
        <f>[7]OC!K35</f>
        <v>0</v>
      </c>
      <c r="F96" s="46">
        <f>[7]OC!L35</f>
        <v>1.4953082063584588E-3</v>
      </c>
      <c r="G96" s="47">
        <f t="shared" si="18"/>
        <v>3.7845077391998234E-7</v>
      </c>
      <c r="H96" s="48">
        <f t="shared" si="19"/>
        <v>0</v>
      </c>
      <c r="I96" s="49"/>
      <c r="J96" s="50"/>
    </row>
    <row r="97" spans="1:12" ht="19.5" hidden="1" customHeight="1" x14ac:dyDescent="0.75">
      <c r="A97" s="63" t="s">
        <v>108</v>
      </c>
      <c r="B97" s="44" t="s">
        <v>100</v>
      </c>
      <c r="C97" s="65"/>
      <c r="D97" s="65"/>
      <c r="E97" s="65"/>
      <c r="F97" s="65"/>
      <c r="G97" s="47" t="e">
        <f t="shared" si="18"/>
        <v>#DIV/0!</v>
      </c>
      <c r="H97" s="48" t="e">
        <f t="shared" si="19"/>
        <v>#DIV/0!</v>
      </c>
      <c r="I97" s="28">
        <f>C96*5%</f>
        <v>197.55649999999989</v>
      </c>
      <c r="J97" s="28">
        <f>D96*5%</f>
        <v>-3.3174342788697689E-4</v>
      </c>
      <c r="K97" s="28">
        <f>E96*5%</f>
        <v>0</v>
      </c>
      <c r="L97" s="28">
        <f>F96*5%</f>
        <v>7.4765410317922942E-5</v>
      </c>
    </row>
    <row r="98" spans="1:12" ht="19.5" hidden="1" customHeight="1" x14ac:dyDescent="0.75">
      <c r="A98" s="43" t="s">
        <v>110</v>
      </c>
      <c r="B98" s="44" t="s">
        <v>100</v>
      </c>
      <c r="C98" s="93">
        <v>6607.0099999999966</v>
      </c>
      <c r="D98" s="46">
        <f>[7]OC!J5</f>
        <v>2434.2513651314421</v>
      </c>
      <c r="E98" s="46">
        <f>[7]OC!K5</f>
        <v>1463.7099999999964</v>
      </c>
      <c r="F98" s="46">
        <f>[7]OC!L5</f>
        <v>7192.9411953082063</v>
      </c>
      <c r="G98" s="47">
        <f t="shared" si="18"/>
        <v>1.088683261461419</v>
      </c>
      <c r="H98" s="48">
        <f t="shared" si="19"/>
        <v>0.60129780390241683</v>
      </c>
      <c r="I98" s="28">
        <f>C96-I97</f>
        <v>3753.5734999999977</v>
      </c>
      <c r="J98" s="28">
        <f>D96-J97</f>
        <v>-6.3031251298525607E-3</v>
      </c>
      <c r="K98" s="28">
        <f>E96-K97</f>
        <v>0</v>
      </c>
      <c r="L98" s="28">
        <f>F96-L97</f>
        <v>1.4205427960405359E-3</v>
      </c>
    </row>
    <row r="99" spans="1:12" ht="19.5" hidden="1" customHeight="1" x14ac:dyDescent="0.75">
      <c r="A99" s="43" t="s">
        <v>112</v>
      </c>
      <c r="B99" s="44" t="s">
        <v>113</v>
      </c>
      <c r="C99" s="93">
        <v>11470.503472222217</v>
      </c>
      <c r="D99" s="64">
        <f>D98/D102*1000</f>
        <v>32456.68486841923</v>
      </c>
      <c r="E99" s="64">
        <f>E98/E102*1000</f>
        <v>41820.285714285608</v>
      </c>
      <c r="F99" s="64">
        <f>F98/F102*1000</f>
        <v>95905.882604109429</v>
      </c>
      <c r="G99" s="47">
        <f t="shared" si="18"/>
        <v>8.3610874480236976</v>
      </c>
      <c r="H99" s="48">
        <f t="shared" si="19"/>
        <v>1.2884952940766075</v>
      </c>
      <c r="I99" s="28">
        <f>I98*35%</f>
        <v>1313.7507249999992</v>
      </c>
      <c r="J99" s="28">
        <f>J98*35%</f>
        <v>-2.2060937954483961E-3</v>
      </c>
      <c r="K99" s="28">
        <f>K98*35%</f>
        <v>0</v>
      </c>
      <c r="L99" s="28">
        <f>L98*35%</f>
        <v>4.971899786141875E-4</v>
      </c>
    </row>
    <row r="100" spans="1:12" ht="19.5" hidden="1" customHeight="1" x14ac:dyDescent="0.75">
      <c r="A100" s="43" t="s">
        <v>116</v>
      </c>
      <c r="B100" s="44" t="s">
        <v>100</v>
      </c>
      <c r="C100" s="93">
        <v>2189.4499999999998</v>
      </c>
      <c r="D100" s="46">
        <f>'[7]OC B'!J30</f>
        <v>2027.2</v>
      </c>
      <c r="E100" s="46">
        <f>'[7]OC B'!K30</f>
        <v>1082.72</v>
      </c>
      <c r="F100" s="46">
        <f>'[7]OC B'!L30</f>
        <v>5983.63</v>
      </c>
      <c r="G100" s="47">
        <f t="shared" si="18"/>
        <v>2.7329374957181032</v>
      </c>
      <c r="H100" s="48">
        <f t="shared" si="19"/>
        <v>0.53409629044988161</v>
      </c>
      <c r="I100" s="28">
        <f>I98-I99</f>
        <v>2439.8227749999987</v>
      </c>
      <c r="J100" s="28">
        <f>J98-J99</f>
        <v>-4.0970313344041651E-3</v>
      </c>
      <c r="K100" s="28">
        <f>K98-K99</f>
        <v>0</v>
      </c>
      <c r="L100" s="28">
        <f>L98-L99</f>
        <v>9.233528174263484E-4</v>
      </c>
    </row>
    <row r="101" spans="1:12" ht="19.5" hidden="1" customHeight="1" x14ac:dyDescent="0.75">
      <c r="A101" s="43" t="s">
        <v>118</v>
      </c>
      <c r="B101" s="44" t="s">
        <v>100</v>
      </c>
      <c r="C101" s="93">
        <v>1891.02</v>
      </c>
      <c r="D101" s="46">
        <f>D100*88.5%</f>
        <v>1794.0720000000001</v>
      </c>
      <c r="E101" s="46">
        <f>E100*88.5%</f>
        <v>958.20720000000006</v>
      </c>
      <c r="F101" s="46">
        <f>F100*88.5%</f>
        <v>5295.5125500000004</v>
      </c>
      <c r="G101" s="47">
        <f t="shared" si="18"/>
        <v>2.800347193578069</v>
      </c>
      <c r="H101" s="48">
        <f t="shared" si="19"/>
        <v>0.53409629044988161</v>
      </c>
      <c r="I101" s="28">
        <f>I100*60%</f>
        <v>1463.8936649999991</v>
      </c>
      <c r="J101" s="28">
        <f>J100*60%</f>
        <v>-2.4582188006424988E-3</v>
      </c>
      <c r="K101" s="28">
        <f>K100*60%</f>
        <v>0</v>
      </c>
      <c r="L101" s="28">
        <f>L100*60%</f>
        <v>5.5401169045580904E-4</v>
      </c>
    </row>
    <row r="102" spans="1:12" ht="19.5" hidden="1" customHeight="1" x14ac:dyDescent="0.75">
      <c r="A102" s="43" t="s">
        <v>120</v>
      </c>
      <c r="B102" s="44" t="s">
        <v>121</v>
      </c>
      <c r="C102" s="93">
        <v>48</v>
      </c>
      <c r="D102" s="72">
        <f>[7]OC!J56</f>
        <v>75</v>
      </c>
      <c r="E102" s="72">
        <f>[7]OC!K56</f>
        <v>35</v>
      </c>
      <c r="F102" s="72">
        <f>'[7]EMPLEO Y SALARIO'!L9</f>
        <v>75</v>
      </c>
      <c r="G102" s="47">
        <f t="shared" si="18"/>
        <v>1.5625</v>
      </c>
      <c r="H102" s="48">
        <f t="shared" si="19"/>
        <v>0.46666666666666667</v>
      </c>
      <c r="I102" s="49"/>
      <c r="J102" s="50"/>
    </row>
    <row r="103" spans="1:12" ht="19.5" hidden="1" customHeight="1" x14ac:dyDescent="0.75">
      <c r="A103" s="43" t="s">
        <v>123</v>
      </c>
      <c r="B103" s="44" t="s">
        <v>124</v>
      </c>
      <c r="C103" s="93">
        <v>3801.1284722222222</v>
      </c>
      <c r="D103" s="64">
        <f>D100/D102*1000</f>
        <v>27029.333333333332</v>
      </c>
      <c r="E103" s="64">
        <f>E100/E102*1000</f>
        <v>30934.857142857145</v>
      </c>
      <c r="F103" s="64">
        <f>F100/F102/12*1000</f>
        <v>6648.4777777777781</v>
      </c>
      <c r="G103" s="47">
        <f t="shared" si="18"/>
        <v>1.7490799972595859</v>
      </c>
      <c r="H103" s="48">
        <f t="shared" si="19"/>
        <v>1.1444920509640322</v>
      </c>
      <c r="I103" s="49"/>
      <c r="J103" s="50"/>
    </row>
    <row r="104" spans="1:12" ht="19.5" hidden="1" customHeight="1" x14ac:dyDescent="0.75">
      <c r="A104" s="43" t="s">
        <v>127</v>
      </c>
      <c r="B104" s="44" t="s">
        <v>124</v>
      </c>
      <c r="C104" s="93">
        <v>73294.895833333328</v>
      </c>
      <c r="D104" s="77">
        <f>D94*1000/D102</f>
        <v>261803.77210025053</v>
      </c>
      <c r="E104" s="77">
        <f>E94*1000/E102</f>
        <v>484164.85714285716</v>
      </c>
      <c r="F104" s="77">
        <f>F94*1000/F102/12</f>
        <v>50649.033333333231</v>
      </c>
      <c r="G104" s="47">
        <f t="shared" si="18"/>
        <v>0.6910308386071663</v>
      </c>
      <c r="H104" s="48">
        <f t="shared" si="19"/>
        <v>1.84934255629235</v>
      </c>
      <c r="I104" s="49"/>
      <c r="J104" s="50"/>
    </row>
    <row r="105" spans="1:12" ht="19.5" hidden="1" customHeight="1" x14ac:dyDescent="0.75">
      <c r="A105" s="79" t="s">
        <v>128</v>
      </c>
      <c r="B105" s="80" t="s">
        <v>129</v>
      </c>
      <c r="C105" s="95"/>
      <c r="D105" s="81"/>
      <c r="E105" s="82"/>
      <c r="F105" s="81"/>
      <c r="G105" s="106">
        <f>G103/G99</f>
        <v>0.20919288407550554</v>
      </c>
      <c r="H105" s="84"/>
      <c r="I105" s="84"/>
      <c r="J105" s="85"/>
    </row>
    <row r="106" spans="1:12" ht="19.5" hidden="1" customHeight="1" x14ac:dyDescent="0.75">
      <c r="A106" s="79" t="s">
        <v>132</v>
      </c>
      <c r="B106" s="80" t="s">
        <v>129</v>
      </c>
      <c r="C106" s="95"/>
      <c r="D106" s="81"/>
      <c r="E106" s="82"/>
      <c r="F106" s="81"/>
      <c r="G106" s="83"/>
      <c r="H106" s="84"/>
      <c r="I106" s="84"/>
      <c r="J106" s="85"/>
    </row>
    <row r="107" spans="1:12" ht="19.5" hidden="1" customHeight="1" x14ac:dyDescent="0.75">
      <c r="A107" s="79" t="s">
        <v>133</v>
      </c>
      <c r="B107" s="80" t="s">
        <v>129</v>
      </c>
      <c r="C107" s="99"/>
      <c r="D107" s="86" t="e">
        <f>D100/D97</f>
        <v>#DIV/0!</v>
      </c>
      <c r="E107" s="86" t="e">
        <f>E100/E97</f>
        <v>#DIV/0!</v>
      </c>
      <c r="F107" s="86" t="e">
        <f>F100/F97</f>
        <v>#DIV/0!</v>
      </c>
      <c r="G107" s="87"/>
      <c r="H107" s="84"/>
      <c r="I107" s="84"/>
      <c r="J107" s="85"/>
    </row>
    <row r="108" spans="1:12" ht="19.5" hidden="1" customHeight="1" x14ac:dyDescent="0.75">
      <c r="A108" s="79" t="s">
        <v>135</v>
      </c>
      <c r="B108" s="80" t="s">
        <v>129</v>
      </c>
      <c r="C108" s="99">
        <v>0.3313828796989865</v>
      </c>
      <c r="D108" s="86">
        <f>D100/D98</f>
        <v>0.83278170407456564</v>
      </c>
      <c r="E108" s="86">
        <f>E100/E98</f>
        <v>0.73970936865909409</v>
      </c>
      <c r="F108" s="86">
        <f>F100/F98</f>
        <v>0.83187528404972744</v>
      </c>
      <c r="G108" s="87"/>
      <c r="H108" s="84"/>
      <c r="I108" s="84"/>
      <c r="J108" s="85"/>
    </row>
    <row r="109" spans="1:12" ht="19.5" hidden="1" customHeight="1" x14ac:dyDescent="0.75">
      <c r="A109" s="79" t="s">
        <v>138</v>
      </c>
      <c r="B109" s="80" t="s">
        <v>100</v>
      </c>
      <c r="C109" s="88"/>
      <c r="D109" s="89"/>
      <c r="E109" s="89"/>
      <c r="F109" s="89"/>
      <c r="G109" s="90"/>
      <c r="H109" s="91"/>
      <c r="I109" s="91"/>
      <c r="J109" s="85"/>
    </row>
    <row r="110" spans="1:12" ht="19.5" hidden="1" customHeight="1" x14ac:dyDescent="0.75">
      <c r="A110" s="79" t="s">
        <v>140</v>
      </c>
      <c r="B110" s="80" t="s">
        <v>100</v>
      </c>
      <c r="C110" s="88"/>
      <c r="D110" s="89"/>
      <c r="E110" s="89"/>
      <c r="F110" s="89"/>
      <c r="G110" s="90"/>
      <c r="H110" s="91"/>
      <c r="I110" s="91"/>
      <c r="J110" s="85"/>
    </row>
    <row r="111" spans="1:12" hidden="1" x14ac:dyDescent="0.6"/>
    <row r="112" spans="1:12" hidden="1" x14ac:dyDescent="0.6">
      <c r="A112" s="27" t="s">
        <v>155</v>
      </c>
    </row>
    <row r="113" spans="1:12" ht="12.75" hidden="1" customHeight="1" x14ac:dyDescent="0.6">
      <c r="A113" s="383" t="s">
        <v>81</v>
      </c>
      <c r="B113" s="384" t="s">
        <v>82</v>
      </c>
      <c r="C113" s="386" t="s">
        <v>83</v>
      </c>
      <c r="D113" s="388" t="s">
        <v>84</v>
      </c>
      <c r="E113" s="389"/>
      <c r="F113" s="383" t="s">
        <v>85</v>
      </c>
      <c r="G113" s="390" t="s">
        <v>86</v>
      </c>
      <c r="H113" s="391"/>
      <c r="I113" s="29"/>
      <c r="J113" s="30"/>
    </row>
    <row r="114" spans="1:12" ht="31.5" hidden="1" x14ac:dyDescent="0.6">
      <c r="A114" s="383"/>
      <c r="B114" s="385"/>
      <c r="C114" s="387"/>
      <c r="D114" s="32" t="s">
        <v>90</v>
      </c>
      <c r="E114" s="32" t="s">
        <v>91</v>
      </c>
      <c r="F114" s="383"/>
      <c r="G114" s="33" t="s">
        <v>92</v>
      </c>
      <c r="H114" s="34" t="s">
        <v>93</v>
      </c>
      <c r="I114" s="35"/>
      <c r="J114" s="36"/>
    </row>
    <row r="115" spans="1:12" hidden="1" x14ac:dyDescent="0.6">
      <c r="A115" s="38">
        <v>1</v>
      </c>
      <c r="B115" s="38">
        <v>2</v>
      </c>
      <c r="C115" s="39"/>
      <c r="D115" s="38">
        <v>8</v>
      </c>
      <c r="E115" s="38">
        <v>9</v>
      </c>
      <c r="F115" s="38">
        <v>5</v>
      </c>
      <c r="G115" s="40">
        <v>10</v>
      </c>
      <c r="H115" s="38">
        <v>11</v>
      </c>
      <c r="I115" s="41"/>
      <c r="J115" s="42"/>
    </row>
    <row r="116" spans="1:12" ht="19.5" hidden="1" customHeight="1" x14ac:dyDescent="0.75">
      <c r="A116" s="43" t="s">
        <v>99</v>
      </c>
      <c r="B116" s="44" t="s">
        <v>100</v>
      </c>
      <c r="C116" s="93">
        <v>78734.41</v>
      </c>
      <c r="D116" s="46">
        <f>[7]MAY!J9</f>
        <v>42035.84169999999</v>
      </c>
      <c r="E116" s="46">
        <f>[7]MAY!K9</f>
        <v>60917.19</v>
      </c>
      <c r="F116" s="46">
        <f>[7]MAY!L9</f>
        <v>94559.619120000003</v>
      </c>
      <c r="G116" s="47">
        <f>F116/C116</f>
        <v>1.20099482703941</v>
      </c>
      <c r="H116" s="48">
        <f>E116/D116</f>
        <v>1.449172599772161</v>
      </c>
      <c r="I116" s="49"/>
      <c r="J116" s="50"/>
    </row>
    <row r="117" spans="1:12" ht="19.5" hidden="1" customHeight="1" x14ac:dyDescent="0.75">
      <c r="A117" s="43" t="s">
        <v>105</v>
      </c>
      <c r="B117" s="44" t="s">
        <v>100</v>
      </c>
      <c r="C117" s="93">
        <v>67434.559999999998</v>
      </c>
      <c r="D117" s="46">
        <f>[7]MAY!J10</f>
        <v>42035.84169999999</v>
      </c>
      <c r="E117" s="46">
        <f>[7]MAY!K10</f>
        <v>60792.51</v>
      </c>
      <c r="F117" s="46">
        <f>[7]MAY!L10</f>
        <v>94559.619120000003</v>
      </c>
      <c r="G117" s="47">
        <f t="shared" ref="G117:G126" si="20">F117/C117</f>
        <v>1.4022426945471285</v>
      </c>
      <c r="H117" s="48">
        <f t="shared" ref="H117:H126" si="21">E117/D117</f>
        <v>1.4462065594846889</v>
      </c>
      <c r="I117" s="49"/>
      <c r="J117" s="50"/>
    </row>
    <row r="118" spans="1:12" ht="19.5" hidden="1" customHeight="1" x14ac:dyDescent="0.75">
      <c r="A118" s="43" t="s">
        <v>107</v>
      </c>
      <c r="B118" s="44" t="s">
        <v>100</v>
      </c>
      <c r="C118" s="93">
        <v>6724.7400000000198</v>
      </c>
      <c r="D118" s="46">
        <f>[7]MAY!J35</f>
        <v>1555.7880679860464</v>
      </c>
      <c r="E118" s="46">
        <f>[7]MAY!K35</f>
        <v>4897.57</v>
      </c>
      <c r="F118" s="46">
        <f>[7]MAY!L35</f>
        <v>4068.7322187151003</v>
      </c>
      <c r="G118" s="47">
        <f t="shared" si="20"/>
        <v>0.6050393351586959</v>
      </c>
      <c r="H118" s="48">
        <f t="shared" si="21"/>
        <v>3.1479673232999272</v>
      </c>
      <c r="I118" s="49"/>
      <c r="J118" s="50"/>
    </row>
    <row r="119" spans="1:12" ht="19.5" hidden="1" customHeight="1" x14ac:dyDescent="0.75">
      <c r="A119" s="63" t="s">
        <v>108</v>
      </c>
      <c r="B119" s="44" t="s">
        <v>100</v>
      </c>
      <c r="C119" s="65">
        <f>I123</f>
        <v>2491.5161700000072</v>
      </c>
      <c r="D119" s="65">
        <f>J123</f>
        <v>576.41947918883022</v>
      </c>
      <c r="E119" s="65">
        <f>K123</f>
        <v>1814.549685</v>
      </c>
      <c r="F119" s="65">
        <f>L123</f>
        <v>1507.4652870339444</v>
      </c>
      <c r="G119" s="47">
        <f t="shared" si="20"/>
        <v>0.60503933515869579</v>
      </c>
      <c r="H119" s="48">
        <f t="shared" si="21"/>
        <v>3.1479673232999272</v>
      </c>
      <c r="I119" s="28">
        <f>C118*5%</f>
        <v>336.23700000000099</v>
      </c>
      <c r="J119" s="28">
        <f>D118*5%</f>
        <v>77.78940339930233</v>
      </c>
      <c r="K119" s="28">
        <f>E118*5%</f>
        <v>244.8785</v>
      </c>
      <c r="L119" s="28">
        <f>F118*5%</f>
        <v>203.43661093575503</v>
      </c>
    </row>
    <row r="120" spans="1:12" ht="19.5" hidden="1" customHeight="1" x14ac:dyDescent="0.75">
      <c r="A120" s="43" t="s">
        <v>110</v>
      </c>
      <c r="B120" s="44" t="s">
        <v>100</v>
      </c>
      <c r="C120" s="93">
        <v>27620.35000000002</v>
      </c>
      <c r="D120" s="46">
        <f>[7]MAY!J5</f>
        <v>18294.465060586048</v>
      </c>
      <c r="E120" s="46">
        <f>[7]MAY!K5</f>
        <v>16289.95</v>
      </c>
      <c r="F120" s="46">
        <f>[7]MAY!L5</f>
        <v>39504.179045915102</v>
      </c>
      <c r="G120" s="47">
        <f t="shared" si="20"/>
        <v>1.4302562800947516</v>
      </c>
      <c r="H120" s="48">
        <f t="shared" si="21"/>
        <v>0.89043051797646633</v>
      </c>
      <c r="I120" s="28">
        <f>C118-I119</f>
        <v>6388.5030000000188</v>
      </c>
      <c r="J120" s="28">
        <f>D118-J119</f>
        <v>1477.9986645867441</v>
      </c>
      <c r="K120" s="28">
        <f>E118-K119</f>
        <v>4652.6914999999999</v>
      </c>
      <c r="L120" s="28">
        <f>F118-L119</f>
        <v>3865.2956077793451</v>
      </c>
    </row>
    <row r="121" spans="1:12" ht="19.5" hidden="1" customHeight="1" x14ac:dyDescent="0.75">
      <c r="A121" s="43" t="s">
        <v>112</v>
      </c>
      <c r="B121" s="44" t="s">
        <v>113</v>
      </c>
      <c r="C121" s="64">
        <f>C120/C124*1000/12</f>
        <v>4426.3381410256443</v>
      </c>
      <c r="D121" s="64">
        <f>D120/D124*1000</f>
        <v>23305.051032593692</v>
      </c>
      <c r="E121" s="64">
        <f>E120/E124*1000</f>
        <v>31326.826923076926</v>
      </c>
      <c r="F121" s="64">
        <f>F120/F124*1000</f>
        <v>50323.79496294917</v>
      </c>
      <c r="G121" s="47">
        <f t="shared" si="20"/>
        <v>11.369170939861464</v>
      </c>
      <c r="H121" s="48">
        <f t="shared" si="21"/>
        <v>1.3442076088683195</v>
      </c>
      <c r="I121" s="28">
        <f>I120*35%</f>
        <v>2235.9760500000066</v>
      </c>
      <c r="J121" s="28">
        <f>J120*35%</f>
        <v>517.29953260536035</v>
      </c>
      <c r="K121" s="28">
        <f>K120*35%</f>
        <v>1628.4420249999998</v>
      </c>
      <c r="L121" s="28">
        <f>L120*35%</f>
        <v>1352.8534627227707</v>
      </c>
    </row>
    <row r="122" spans="1:12" ht="19.5" hidden="1" customHeight="1" x14ac:dyDescent="0.75">
      <c r="A122" s="43" t="s">
        <v>116</v>
      </c>
      <c r="B122" s="44" t="s">
        <v>100</v>
      </c>
      <c r="C122" s="93">
        <v>9925.52</v>
      </c>
      <c r="D122" s="46">
        <f>'[7]MAY B'!J30</f>
        <v>9928.3482400000012</v>
      </c>
      <c r="E122" s="46">
        <f>'[7]MAY B'!K30</f>
        <v>4030.59</v>
      </c>
      <c r="F122" s="46">
        <f>'[7]MAY B'!L30</f>
        <v>20532.679600000003</v>
      </c>
      <c r="G122" s="47">
        <f t="shared" si="20"/>
        <v>2.0686754547872557</v>
      </c>
      <c r="H122" s="48">
        <f t="shared" si="21"/>
        <v>0.40596783095916061</v>
      </c>
      <c r="I122" s="28">
        <f>I120-I121</f>
        <v>4152.5269500000122</v>
      </c>
      <c r="J122" s="28">
        <f>J120-J121</f>
        <v>960.69913198138374</v>
      </c>
      <c r="K122" s="28">
        <f>K120-K121</f>
        <v>3024.2494750000001</v>
      </c>
      <c r="L122" s="28">
        <f>L120-L121</f>
        <v>2512.4421450565742</v>
      </c>
    </row>
    <row r="123" spans="1:12" ht="19.5" hidden="1" customHeight="1" x14ac:dyDescent="0.75">
      <c r="A123" s="43" t="s">
        <v>118</v>
      </c>
      <c r="B123" s="44" t="s">
        <v>100</v>
      </c>
      <c r="C123" s="93">
        <v>8613.49</v>
      </c>
      <c r="D123" s="46">
        <f>D122*88.5%</f>
        <v>8786.5881924000005</v>
      </c>
      <c r="E123" s="46">
        <f>E122*88.5%</f>
        <v>3567.07215</v>
      </c>
      <c r="F123" s="46">
        <f>F122*88.5%</f>
        <v>18171.421446000004</v>
      </c>
      <c r="G123" s="47">
        <f t="shared" si="20"/>
        <v>2.1096467803410701</v>
      </c>
      <c r="H123" s="48">
        <f t="shared" si="21"/>
        <v>0.40596783095916061</v>
      </c>
      <c r="I123" s="28">
        <f>I122*60%</f>
        <v>2491.5161700000072</v>
      </c>
      <c r="J123" s="28">
        <f>J122*60%</f>
        <v>576.41947918883022</v>
      </c>
      <c r="K123" s="28">
        <f>K122*60%</f>
        <v>1814.549685</v>
      </c>
      <c r="L123" s="28">
        <f>L122*60%</f>
        <v>1507.4652870339444</v>
      </c>
    </row>
    <row r="124" spans="1:12" ht="19.5" hidden="1" customHeight="1" x14ac:dyDescent="0.75">
      <c r="A124" s="43" t="s">
        <v>120</v>
      </c>
      <c r="B124" s="44" t="s">
        <v>121</v>
      </c>
      <c r="C124" s="94">
        <v>520</v>
      </c>
      <c r="D124" s="72">
        <f>[7]MAY!J56</f>
        <v>785</v>
      </c>
      <c r="E124" s="72">
        <f>[7]MAY!K56</f>
        <v>520</v>
      </c>
      <c r="F124" s="72">
        <f>'[7]EMPLEO Y SALARIO'!L11</f>
        <v>785</v>
      </c>
      <c r="G124" s="47">
        <f t="shared" si="20"/>
        <v>1.5096153846153846</v>
      </c>
      <c r="H124" s="48">
        <f t="shared" si="21"/>
        <v>0.66242038216560506</v>
      </c>
      <c r="I124" s="49"/>
      <c r="J124" s="50"/>
    </row>
    <row r="125" spans="1:12" ht="19.5" hidden="1" customHeight="1" x14ac:dyDescent="0.75">
      <c r="A125" s="43" t="s">
        <v>123</v>
      </c>
      <c r="B125" s="44" t="s">
        <v>124</v>
      </c>
      <c r="C125" s="64">
        <f>C122/C124/12*1000</f>
        <v>1590.6282051282051</v>
      </c>
      <c r="D125" s="64">
        <f>D122/D124*1000</f>
        <v>12647.57737579618</v>
      </c>
      <c r="E125" s="64">
        <f>E122/E124*1000</f>
        <v>7751.1346153846152</v>
      </c>
      <c r="F125" s="64">
        <f>F122/F124/12*1000</f>
        <v>2179.6899787685779</v>
      </c>
      <c r="G125" s="47">
        <f t="shared" si="20"/>
        <v>1.370332785336781</v>
      </c>
      <c r="H125" s="48">
        <f t="shared" si="21"/>
        <v>0.6128552832748867</v>
      </c>
      <c r="I125" s="49"/>
      <c r="J125" s="50"/>
    </row>
    <row r="126" spans="1:12" ht="19.5" hidden="1" customHeight="1" x14ac:dyDescent="0.75">
      <c r="A126" s="43" t="s">
        <v>127</v>
      </c>
      <c r="B126" s="44" t="s">
        <v>124</v>
      </c>
      <c r="C126" s="77">
        <f>C116*1000/C124/12</f>
        <v>12617.693910256412</v>
      </c>
      <c r="D126" s="77">
        <f>D116*1000/D124</f>
        <v>53548.842929936291</v>
      </c>
      <c r="E126" s="77">
        <f>E116*1000/E124</f>
        <v>117148.44230769231</v>
      </c>
      <c r="F126" s="77">
        <f>F116*1000/F124/12</f>
        <v>10038.176127388535</v>
      </c>
      <c r="G126" s="47">
        <f t="shared" si="20"/>
        <v>0.79556345230636072</v>
      </c>
      <c r="H126" s="48">
        <f t="shared" si="21"/>
        <v>2.1876932515791276</v>
      </c>
      <c r="I126" s="49"/>
      <c r="J126" s="50"/>
    </row>
    <row r="127" spans="1:12" ht="19.5" hidden="1" customHeight="1" x14ac:dyDescent="0.75">
      <c r="A127" s="79" t="s">
        <v>128</v>
      </c>
      <c r="B127" s="80" t="s">
        <v>129</v>
      </c>
      <c r="C127" s="82"/>
      <c r="D127" s="81"/>
      <c r="E127" s="82"/>
      <c r="F127" s="81"/>
      <c r="G127" s="83">
        <f>G125/G121</f>
        <v>0.12053058156881569</v>
      </c>
      <c r="H127" s="83">
        <f>H125/H121</f>
        <v>0.45592308749899579</v>
      </c>
      <c r="I127" s="84"/>
      <c r="J127" s="85"/>
    </row>
    <row r="128" spans="1:12" ht="19.5" hidden="1" customHeight="1" x14ac:dyDescent="0.75">
      <c r="A128" s="79" t="s">
        <v>132</v>
      </c>
      <c r="B128" s="80" t="s">
        <v>129</v>
      </c>
      <c r="C128" s="82"/>
      <c r="D128" s="81"/>
      <c r="E128" s="82"/>
      <c r="F128" s="81"/>
      <c r="G128" s="83">
        <f>G122/G119</f>
        <v>3.4190759750267521</v>
      </c>
      <c r="H128" s="83">
        <f>H122/H119</f>
        <v>0.12896189485651832</v>
      </c>
      <c r="I128" s="84"/>
      <c r="J128" s="85"/>
    </row>
    <row r="129" spans="1:12" ht="19.5" hidden="1" customHeight="1" x14ac:dyDescent="0.75">
      <c r="A129" s="79" t="s">
        <v>133</v>
      </c>
      <c r="B129" s="80" t="s">
        <v>129</v>
      </c>
      <c r="C129" s="86">
        <f>C122/C119</f>
        <v>3.9837269047304527</v>
      </c>
      <c r="D129" s="86">
        <f>D122/D119</f>
        <v>17.224171976234615</v>
      </c>
      <c r="E129" s="86">
        <f>E122/E119</f>
        <v>2.2212618553897578</v>
      </c>
      <c r="F129" s="86">
        <f>F122/F119</f>
        <v>13.620664951031578</v>
      </c>
      <c r="G129" s="87"/>
      <c r="H129" s="84"/>
      <c r="I129" s="84"/>
      <c r="J129" s="85"/>
    </row>
    <row r="130" spans="1:12" ht="19.5" hidden="1" customHeight="1" x14ac:dyDescent="0.75">
      <c r="A130" s="79" t="s">
        <v>135</v>
      </c>
      <c r="B130" s="80" t="s">
        <v>129</v>
      </c>
      <c r="C130" s="86">
        <f>C122/C120</f>
        <v>0.3593553303995059</v>
      </c>
      <c r="D130" s="86">
        <f>D122/D120</f>
        <v>0.54269683246381595</v>
      </c>
      <c r="E130" s="86">
        <f>E122/E120</f>
        <v>0.24742801543282822</v>
      </c>
      <c r="F130" s="86">
        <f>F122/F120</f>
        <v>0.51975968355487612</v>
      </c>
      <c r="G130" s="87"/>
      <c r="H130" s="84"/>
      <c r="I130" s="84"/>
      <c r="J130" s="85"/>
    </row>
    <row r="131" spans="1:12" ht="19.5" hidden="1" customHeight="1" x14ac:dyDescent="0.75">
      <c r="A131" s="79" t="s">
        <v>138</v>
      </c>
      <c r="B131" s="80" t="s">
        <v>100</v>
      </c>
      <c r="C131" s="88"/>
      <c r="D131" s="89"/>
      <c r="E131" s="89"/>
      <c r="F131" s="89"/>
      <c r="G131" s="90"/>
      <c r="H131" s="91"/>
      <c r="I131" s="91"/>
      <c r="J131" s="85"/>
    </row>
    <row r="132" spans="1:12" ht="19.5" hidden="1" customHeight="1" x14ac:dyDescent="0.75">
      <c r="A132" s="79" t="s">
        <v>140</v>
      </c>
      <c r="B132" s="80" t="s">
        <v>100</v>
      </c>
      <c r="C132" s="88"/>
      <c r="D132" s="89"/>
      <c r="E132" s="89"/>
      <c r="F132" s="89"/>
      <c r="G132" s="90"/>
      <c r="H132" s="91"/>
      <c r="I132" s="91"/>
      <c r="J132" s="85"/>
    </row>
    <row r="133" spans="1:12" hidden="1" x14ac:dyDescent="0.6"/>
    <row r="134" spans="1:12" hidden="1" x14ac:dyDescent="0.6">
      <c r="A134" s="27" t="s">
        <v>156</v>
      </c>
    </row>
    <row r="135" spans="1:12" ht="12.75" hidden="1" customHeight="1" x14ac:dyDescent="0.6">
      <c r="A135" s="383" t="s">
        <v>81</v>
      </c>
      <c r="B135" s="384" t="s">
        <v>82</v>
      </c>
      <c r="C135" s="386" t="s">
        <v>83</v>
      </c>
      <c r="D135" s="388" t="s">
        <v>84</v>
      </c>
      <c r="E135" s="389"/>
      <c r="F135" s="383" t="s">
        <v>85</v>
      </c>
      <c r="G135" s="390" t="s">
        <v>86</v>
      </c>
      <c r="H135" s="391"/>
      <c r="I135" s="29"/>
      <c r="J135" s="30"/>
    </row>
    <row r="136" spans="1:12" ht="31.5" hidden="1" x14ac:dyDescent="0.6">
      <c r="A136" s="383"/>
      <c r="B136" s="385"/>
      <c r="C136" s="387"/>
      <c r="D136" s="32" t="s">
        <v>90</v>
      </c>
      <c r="E136" s="32" t="s">
        <v>91</v>
      </c>
      <c r="F136" s="383"/>
      <c r="G136" s="33" t="s">
        <v>92</v>
      </c>
      <c r="H136" s="34" t="s">
        <v>93</v>
      </c>
      <c r="I136" s="35"/>
      <c r="J136" s="36"/>
    </row>
    <row r="137" spans="1:12" hidden="1" x14ac:dyDescent="0.6">
      <c r="A137" s="38">
        <v>1</v>
      </c>
      <c r="B137" s="38">
        <v>2</v>
      </c>
      <c r="C137" s="39"/>
      <c r="D137" s="38">
        <v>8</v>
      </c>
      <c r="E137" s="38">
        <v>9</v>
      </c>
      <c r="F137" s="38">
        <v>5</v>
      </c>
      <c r="G137" s="40">
        <v>10</v>
      </c>
      <c r="H137" s="38">
        <v>11</v>
      </c>
      <c r="I137" s="41"/>
      <c r="J137" s="42"/>
    </row>
    <row r="138" spans="1:12" ht="19.5" hidden="1" customHeight="1" x14ac:dyDescent="0.75">
      <c r="A138" s="43" t="s">
        <v>99</v>
      </c>
      <c r="B138" s="44" t="s">
        <v>100</v>
      </c>
      <c r="C138" s="46">
        <v>98036.06</v>
      </c>
      <c r="D138" s="46">
        <f>[7]MAT!J9</f>
        <v>42011.239999999991</v>
      </c>
      <c r="E138" s="46">
        <f>[7]MAT!K9</f>
        <v>76402.510000000009</v>
      </c>
      <c r="F138" s="46">
        <f>[7]MAT!L9</f>
        <v>92137.74000000002</v>
      </c>
      <c r="G138" s="47">
        <f>F138/C138</f>
        <v>0.93983519941539906</v>
      </c>
      <c r="H138" s="48">
        <f>E138/D138</f>
        <v>1.8186206834171053</v>
      </c>
      <c r="I138" s="49"/>
      <c r="J138" s="50"/>
    </row>
    <row r="139" spans="1:12" ht="19.5" hidden="1" customHeight="1" x14ac:dyDescent="0.75">
      <c r="A139" s="43" t="s">
        <v>105</v>
      </c>
      <c r="B139" s="44" t="s">
        <v>100</v>
      </c>
      <c r="C139" s="46">
        <v>97230.98</v>
      </c>
      <c r="D139" s="46">
        <f>[7]MAT!J10</f>
        <v>41227.399999999994</v>
      </c>
      <c r="E139" s="46">
        <f>[7]MAT!K10</f>
        <v>76274.040000000008</v>
      </c>
      <c r="F139" s="46">
        <f>[7]MAT!L10</f>
        <v>90570.000000000015</v>
      </c>
      <c r="G139" s="47">
        <f t="shared" ref="G139:G148" si="22">F139/C139</f>
        <v>0.93149323394662908</v>
      </c>
      <c r="H139" s="48">
        <f t="shared" ref="H139:H148" si="23">E139/D139</f>
        <v>1.850081256640002</v>
      </c>
      <c r="I139" s="49"/>
      <c r="J139" s="50"/>
    </row>
    <row r="140" spans="1:12" ht="19.5" hidden="1" customHeight="1" x14ac:dyDescent="0.75">
      <c r="A140" s="43" t="s">
        <v>107</v>
      </c>
      <c r="B140" s="44" t="s">
        <v>100</v>
      </c>
      <c r="C140" s="46">
        <v>10117.419999999998</v>
      </c>
      <c r="D140" s="46">
        <f>[7]MAT!J35</f>
        <v>2966.5437034539937</v>
      </c>
      <c r="E140" s="46">
        <f>[7]MAT!K35</f>
        <v>12648.470000000008</v>
      </c>
      <c r="F140" s="46">
        <f>[7]MAT!L35+4500</f>
        <v>12852.996748833379</v>
      </c>
      <c r="G140" s="47">
        <f t="shared" si="22"/>
        <v>1.2703828395809782</v>
      </c>
      <c r="H140" s="48">
        <f t="shared" si="23"/>
        <v>4.2637059367347918</v>
      </c>
      <c r="I140" s="49"/>
      <c r="J140" s="50"/>
    </row>
    <row r="141" spans="1:12" ht="19.5" hidden="1" customHeight="1" x14ac:dyDescent="0.75">
      <c r="A141" s="63" t="s">
        <v>108</v>
      </c>
      <c r="B141" s="44" t="s">
        <v>100</v>
      </c>
      <c r="C141" s="65">
        <f>I145</f>
        <v>3748.5041099999999</v>
      </c>
      <c r="D141" s="65">
        <f>J145</f>
        <v>1099.1044421297047</v>
      </c>
      <c r="E141" s="65">
        <f>K145</f>
        <v>4686.2581350000028</v>
      </c>
      <c r="F141" s="65">
        <f>L145</f>
        <v>4762.0352954427663</v>
      </c>
      <c r="G141" s="47">
        <f t="shared" si="22"/>
        <v>1.270382839580978</v>
      </c>
      <c r="H141" s="48">
        <f t="shared" si="23"/>
        <v>4.2637059367347909</v>
      </c>
      <c r="I141" s="28">
        <f>C140*5%</f>
        <v>505.87099999999992</v>
      </c>
      <c r="J141" s="28">
        <f>D140*5%</f>
        <v>148.3271851726997</v>
      </c>
      <c r="K141" s="28">
        <f>E140*5%</f>
        <v>632.42350000000044</v>
      </c>
      <c r="L141" s="28">
        <f>F140*5%</f>
        <v>642.64983744166898</v>
      </c>
    </row>
    <row r="142" spans="1:12" ht="19.5" hidden="1" customHeight="1" x14ac:dyDescent="0.75">
      <c r="A142" s="43" t="s">
        <v>110</v>
      </c>
      <c r="B142" s="44" t="s">
        <v>100</v>
      </c>
      <c r="C142" s="46">
        <v>26840.219999999994</v>
      </c>
      <c r="D142" s="46">
        <f>[7]MAT!J5</f>
        <v>16470.357303453995</v>
      </c>
      <c r="E142" s="46">
        <f>[7]MAT!K5</f>
        <v>23795.12000000001</v>
      </c>
      <c r="F142" s="46">
        <f>[7]MAT!L5</f>
        <v>36238.347248833379</v>
      </c>
      <c r="G142" s="47">
        <f t="shared" si="22"/>
        <v>1.3501509022218665</v>
      </c>
      <c r="H142" s="48">
        <f t="shared" si="23"/>
        <v>1.4447239705607322</v>
      </c>
      <c r="I142" s="28">
        <f>C140-I141</f>
        <v>9611.5489999999991</v>
      </c>
      <c r="J142" s="28">
        <f>D140-J141</f>
        <v>2818.2165182812942</v>
      </c>
      <c r="K142" s="28">
        <f>E140-K141</f>
        <v>12016.046500000008</v>
      </c>
      <c r="L142" s="28">
        <f>F140-L141</f>
        <v>12210.346911391709</v>
      </c>
    </row>
    <row r="143" spans="1:12" ht="19.5" hidden="1" customHeight="1" x14ac:dyDescent="0.75">
      <c r="A143" s="43" t="s">
        <v>112</v>
      </c>
      <c r="B143" s="44" t="s">
        <v>113</v>
      </c>
      <c r="C143" s="64">
        <f>C142/C146*1000/12</f>
        <v>14715.03289473684</v>
      </c>
      <c r="D143" s="64">
        <f>D142/D146*1000</f>
        <v>74190.798664207177</v>
      </c>
      <c r="E143" s="64">
        <f>E142/E146*1000</f>
        <v>156546.8421052632</v>
      </c>
      <c r="F143" s="64">
        <f>F142/F146*1000</f>
        <v>163235.79841816839</v>
      </c>
      <c r="G143" s="47">
        <f t="shared" si="22"/>
        <v>11.093131737174255</v>
      </c>
      <c r="H143" s="48">
        <f t="shared" si="23"/>
        <v>2.1100573780558061</v>
      </c>
      <c r="I143" s="28">
        <f>I142*35%</f>
        <v>3364.0421499999993</v>
      </c>
      <c r="J143" s="28">
        <f>J142*35%</f>
        <v>986.37578139845289</v>
      </c>
      <c r="K143" s="28">
        <f>K142*35%</f>
        <v>4205.6162750000021</v>
      </c>
      <c r="L143" s="28">
        <f>L142*35%</f>
        <v>4273.621418987098</v>
      </c>
    </row>
    <row r="144" spans="1:12" ht="19.5" hidden="1" customHeight="1" x14ac:dyDescent="0.75">
      <c r="A144" s="43" t="s">
        <v>116</v>
      </c>
      <c r="B144" s="44" t="s">
        <v>100</v>
      </c>
      <c r="C144" s="46">
        <v>6574.11</v>
      </c>
      <c r="D144" s="46">
        <f>'[7]MAT B'!J30</f>
        <v>8260.44</v>
      </c>
      <c r="E144" s="46">
        <f>'[7]MAT B'!K30</f>
        <v>3687.79</v>
      </c>
      <c r="F144" s="46">
        <f>'[7]MAT B'!L30-8200</f>
        <v>8320.9500000000007</v>
      </c>
      <c r="G144" s="47">
        <f t="shared" si="22"/>
        <v>1.2657150549656153</v>
      </c>
      <c r="H144" s="48">
        <f t="shared" si="23"/>
        <v>0.4464398990852787</v>
      </c>
      <c r="I144" s="28">
        <f>I142-I143</f>
        <v>6247.5068499999998</v>
      </c>
      <c r="J144" s="28">
        <f>J142-J143</f>
        <v>1831.8407368828412</v>
      </c>
      <c r="K144" s="28">
        <f>K142-K143</f>
        <v>7810.4302250000055</v>
      </c>
      <c r="L144" s="28">
        <f>L142-L143</f>
        <v>7936.725492404611</v>
      </c>
    </row>
    <row r="145" spans="1:12" ht="19.5" hidden="1" customHeight="1" x14ac:dyDescent="0.75">
      <c r="A145" s="43" t="s">
        <v>118</v>
      </c>
      <c r="B145" s="44" t="s">
        <v>100</v>
      </c>
      <c r="C145" s="67">
        <v>5772.64</v>
      </c>
      <c r="D145" s="46">
        <f>D144*88.5%</f>
        <v>7310.4894000000004</v>
      </c>
      <c r="E145" s="46">
        <f>E144*88.5%</f>
        <v>3263.6941499999998</v>
      </c>
      <c r="F145" s="46">
        <f>F144*88.5%</f>
        <v>7364.040750000001</v>
      </c>
      <c r="G145" s="47">
        <f t="shared" si="22"/>
        <v>1.2756798882313813</v>
      </c>
      <c r="H145" s="48">
        <f t="shared" si="23"/>
        <v>0.4464398990852787</v>
      </c>
      <c r="I145" s="28">
        <f>I144*60%</f>
        <v>3748.5041099999999</v>
      </c>
      <c r="J145" s="28">
        <f>J144*60%</f>
        <v>1099.1044421297047</v>
      </c>
      <c r="K145" s="28">
        <f>K144*60%</f>
        <v>4686.2581350000028</v>
      </c>
      <c r="L145" s="28">
        <f>L144*60%</f>
        <v>4762.0352954427663</v>
      </c>
    </row>
    <row r="146" spans="1:12" ht="19.5" hidden="1" customHeight="1" x14ac:dyDescent="0.75">
      <c r="A146" s="43" t="s">
        <v>120</v>
      </c>
      <c r="B146" s="44" t="s">
        <v>121</v>
      </c>
      <c r="C146" s="72">
        <v>152</v>
      </c>
      <c r="D146" s="72">
        <f>[7]MAT!J56</f>
        <v>222</v>
      </c>
      <c r="E146" s="72">
        <f>[7]MAT!K56</f>
        <v>152</v>
      </c>
      <c r="F146" s="72">
        <f>'[7]EMPLEO Y SALARIO'!L12</f>
        <v>222</v>
      </c>
      <c r="G146" s="47">
        <f t="shared" si="22"/>
        <v>1.4605263157894737</v>
      </c>
      <c r="H146" s="48">
        <f t="shared" si="23"/>
        <v>0.68468468468468469</v>
      </c>
      <c r="I146" s="49"/>
      <c r="J146" s="50"/>
    </row>
    <row r="147" spans="1:12" ht="19.5" hidden="1" customHeight="1" x14ac:dyDescent="0.75">
      <c r="A147" s="43" t="s">
        <v>123</v>
      </c>
      <c r="B147" s="44" t="s">
        <v>124</v>
      </c>
      <c r="C147" s="64">
        <f>C144/C146/12*1000</f>
        <v>3604.2269736842109</v>
      </c>
      <c r="D147" s="64">
        <f>D144/D146*1000/5</f>
        <v>7441.8378378378375</v>
      </c>
      <c r="E147" s="64">
        <f>E144/E146*1000/5</f>
        <v>4852.355263157895</v>
      </c>
      <c r="F147" s="64">
        <f>F144/F146/12*1000</f>
        <v>3123.47972972973</v>
      </c>
      <c r="G147" s="47">
        <f t="shared" si="22"/>
        <v>0.86661571330979048</v>
      </c>
      <c r="H147" s="48">
        <f t="shared" si="23"/>
        <v>0.65203722103244666</v>
      </c>
      <c r="I147" s="49"/>
      <c r="J147" s="50"/>
    </row>
    <row r="148" spans="1:12" ht="19.5" hidden="1" customHeight="1" x14ac:dyDescent="0.75">
      <c r="A148" s="43" t="s">
        <v>127</v>
      </c>
      <c r="B148" s="44" t="s">
        <v>124</v>
      </c>
      <c r="C148" s="77">
        <f>C147*115%</f>
        <v>4144.8610197368425</v>
      </c>
      <c r="D148" s="77">
        <f>D147*135%</f>
        <v>10046.481081081081</v>
      </c>
      <c r="E148" s="77">
        <f>E147*115%</f>
        <v>5580.2085526315786</v>
      </c>
      <c r="F148" s="77">
        <f>F147*145%</f>
        <v>4529.0456081081084</v>
      </c>
      <c r="G148" s="47">
        <f t="shared" si="22"/>
        <v>1.092689377651475</v>
      </c>
      <c r="H148" s="48">
        <f t="shared" si="23"/>
        <v>0.55543911421282488</v>
      </c>
      <c r="I148" s="49"/>
      <c r="J148" s="50"/>
    </row>
    <row r="149" spans="1:12" ht="19.5" hidden="1" customHeight="1" x14ac:dyDescent="0.75">
      <c r="A149" s="79" t="s">
        <v>128</v>
      </c>
      <c r="B149" s="80" t="s">
        <v>129</v>
      </c>
      <c r="C149" s="82"/>
      <c r="D149" s="81"/>
      <c r="E149" s="82"/>
      <c r="F149" s="81"/>
      <c r="G149" s="83">
        <f>G147/G143</f>
        <v>7.8121826535753627E-2</v>
      </c>
      <c r="H149" s="83">
        <f>H147/H143</f>
        <v>0.30901397649822665</v>
      </c>
      <c r="I149" s="84"/>
      <c r="J149" s="85"/>
    </row>
    <row r="150" spans="1:12" ht="19.5" hidden="1" customHeight="1" x14ac:dyDescent="0.75">
      <c r="A150" s="79" t="s">
        <v>149</v>
      </c>
      <c r="B150" s="80" t="s">
        <v>129</v>
      </c>
      <c r="C150" s="82"/>
      <c r="D150" s="81"/>
      <c r="E150" s="82"/>
      <c r="F150" s="81"/>
      <c r="G150" s="83">
        <f>G144/G141</f>
        <v>0.99632568665922605</v>
      </c>
      <c r="H150" s="83">
        <f>H144/H141</f>
        <v>0.10470700974916881</v>
      </c>
      <c r="I150" s="84"/>
      <c r="J150" s="85"/>
    </row>
    <row r="151" spans="1:12" ht="19.5" hidden="1" customHeight="1" x14ac:dyDescent="0.75">
      <c r="A151" s="79" t="s">
        <v>133</v>
      </c>
      <c r="B151" s="80" t="s">
        <v>129</v>
      </c>
      <c r="C151" s="86">
        <f>C144/C141</f>
        <v>1.7537955960784581</v>
      </c>
      <c r="D151" s="86">
        <f>D144/D141</f>
        <v>7.5156096940104904</v>
      </c>
      <c r="E151" s="86">
        <f>E144/E141</f>
        <v>0.78693701750170397</v>
      </c>
      <c r="F151" s="86">
        <f>F144/F141</f>
        <v>1.7473516015227963</v>
      </c>
      <c r="G151" s="87"/>
      <c r="H151" s="84"/>
      <c r="I151" s="84"/>
      <c r="J151" s="85"/>
    </row>
    <row r="152" spans="1:12" ht="19.5" hidden="1" customHeight="1" x14ac:dyDescent="0.75">
      <c r="A152" s="79" t="s">
        <v>135</v>
      </c>
      <c r="B152" s="80" t="s">
        <v>129</v>
      </c>
      <c r="C152" s="86">
        <f>C144/C142</f>
        <v>0.2449350266130457</v>
      </c>
      <c r="D152" s="86">
        <f>D144/D142</f>
        <v>0.50153374622101887</v>
      </c>
      <c r="E152" s="86">
        <f>E144/E142</f>
        <v>0.15498093726780945</v>
      </c>
      <c r="F152" s="86">
        <f>F144/F142</f>
        <v>0.2296172599391347</v>
      </c>
      <c r="G152" s="87"/>
      <c r="H152" s="84"/>
      <c r="I152" s="84"/>
      <c r="J152" s="85"/>
    </row>
    <row r="153" spans="1:12" ht="19.5" hidden="1" customHeight="1" x14ac:dyDescent="0.75">
      <c r="A153" s="79" t="s">
        <v>138</v>
      </c>
      <c r="B153" s="80" t="s">
        <v>100</v>
      </c>
      <c r="C153" s="88"/>
      <c r="D153" s="89"/>
      <c r="E153" s="89"/>
      <c r="F153" s="89"/>
      <c r="G153" s="90"/>
      <c r="H153" s="91"/>
      <c r="I153" s="91"/>
      <c r="J153" s="85"/>
    </row>
    <row r="154" spans="1:12" ht="19.5" hidden="1" customHeight="1" x14ac:dyDescent="0.75">
      <c r="A154" s="79" t="s">
        <v>140</v>
      </c>
      <c r="B154" s="80" t="s">
        <v>100</v>
      </c>
      <c r="C154" s="88"/>
      <c r="D154" s="89"/>
      <c r="E154" s="89"/>
      <c r="F154" s="89"/>
      <c r="G154" s="90"/>
      <c r="H154" s="91"/>
      <c r="I154" s="91"/>
      <c r="J154" s="85"/>
    </row>
    <row r="155" spans="1:12" hidden="1" x14ac:dyDescent="0.6"/>
    <row r="156" spans="1:12" hidden="1" x14ac:dyDescent="0.6">
      <c r="A156" s="27" t="s">
        <v>157</v>
      </c>
    </row>
    <row r="157" spans="1:12" ht="12.75" hidden="1" customHeight="1" x14ac:dyDescent="0.6">
      <c r="A157" s="383" t="s">
        <v>81</v>
      </c>
      <c r="B157" s="384" t="s">
        <v>82</v>
      </c>
      <c r="C157" s="386" t="s">
        <v>83</v>
      </c>
      <c r="D157" s="388" t="s">
        <v>84</v>
      </c>
      <c r="E157" s="389"/>
      <c r="F157" s="383" t="s">
        <v>85</v>
      </c>
      <c r="G157" s="390" t="s">
        <v>86</v>
      </c>
      <c r="H157" s="391"/>
      <c r="I157" s="29"/>
      <c r="J157" s="30"/>
    </row>
    <row r="158" spans="1:12" ht="31.5" hidden="1" x14ac:dyDescent="0.6">
      <c r="A158" s="383"/>
      <c r="B158" s="385"/>
      <c r="C158" s="387"/>
      <c r="D158" s="32" t="s">
        <v>90</v>
      </c>
      <c r="E158" s="32" t="s">
        <v>91</v>
      </c>
      <c r="F158" s="383"/>
      <c r="G158" s="33" t="s">
        <v>92</v>
      </c>
      <c r="H158" s="34" t="s">
        <v>93</v>
      </c>
      <c r="I158" s="35"/>
      <c r="J158" s="36"/>
    </row>
    <row r="159" spans="1:12" hidden="1" x14ac:dyDescent="0.6">
      <c r="A159" s="38">
        <v>1</v>
      </c>
      <c r="B159" s="38">
        <v>2</v>
      </c>
      <c r="C159" s="39"/>
      <c r="D159" s="38">
        <v>8</v>
      </c>
      <c r="E159" s="38">
        <v>9</v>
      </c>
      <c r="F159" s="38">
        <v>5</v>
      </c>
      <c r="G159" s="40">
        <v>10</v>
      </c>
      <c r="H159" s="38">
        <v>11</v>
      </c>
      <c r="I159" s="41"/>
      <c r="J159" s="42"/>
    </row>
    <row r="160" spans="1:12" ht="19.5" hidden="1" customHeight="1" x14ac:dyDescent="0.75">
      <c r="A160" s="43" t="s">
        <v>99</v>
      </c>
      <c r="B160" s="44" t="s">
        <v>100</v>
      </c>
      <c r="C160" s="93">
        <v>46071.520000000004</v>
      </c>
      <c r="D160" s="46">
        <f>[7]VC!J9</f>
        <v>30082.457402945711</v>
      </c>
      <c r="E160" s="46">
        <f>[7]VC!K9</f>
        <v>25434.21</v>
      </c>
      <c r="F160" s="46">
        <f>[7]VC!L9</f>
        <v>57537.2</v>
      </c>
      <c r="G160" s="47">
        <f>F160/C160</f>
        <v>1.2488669789926616</v>
      </c>
      <c r="H160" s="48">
        <f>E160/D160</f>
        <v>0.845483121917741</v>
      </c>
      <c r="I160" s="49"/>
      <c r="J160" s="50"/>
    </row>
    <row r="161" spans="1:12" ht="19.5" hidden="1" customHeight="1" x14ac:dyDescent="0.75">
      <c r="A161" s="43" t="s">
        <v>105</v>
      </c>
      <c r="B161" s="44" t="s">
        <v>100</v>
      </c>
      <c r="C161" s="93">
        <v>44428.44</v>
      </c>
      <c r="D161" s="46">
        <f>[7]VC!J10</f>
        <v>30082.457402945711</v>
      </c>
      <c r="E161" s="46">
        <f>[7]VC!K10</f>
        <v>25365.78</v>
      </c>
      <c r="F161" s="46">
        <f>[7]VC!L10</f>
        <v>57537.2</v>
      </c>
      <c r="G161" s="47">
        <f t="shared" ref="G161:G170" si="24">F161/C161</f>
        <v>1.2950533487108706</v>
      </c>
      <c r="H161" s="48">
        <f t="shared" ref="H161:H170" si="25">E161/D161</f>
        <v>0.8432083742439257</v>
      </c>
      <c r="I161" s="49"/>
      <c r="J161" s="50"/>
    </row>
    <row r="162" spans="1:12" ht="19.5" hidden="1" customHeight="1" x14ac:dyDescent="0.75">
      <c r="A162" s="43" t="s">
        <v>107</v>
      </c>
      <c r="B162" s="44" t="s">
        <v>100</v>
      </c>
      <c r="C162" s="93">
        <v>1013.8900000000067</v>
      </c>
      <c r="D162" s="46">
        <f>[7]VC!J35</f>
        <v>1805.5278577286444</v>
      </c>
      <c r="E162" s="46">
        <f>[7]VC!K35</f>
        <v>21.379999999997381</v>
      </c>
      <c r="F162" s="46">
        <f>[7]VC!L35</f>
        <v>2407.2785200625003</v>
      </c>
      <c r="G162" s="47">
        <f t="shared" si="24"/>
        <v>2.3742995000073819</v>
      </c>
      <c r="H162" s="48">
        <f t="shared" si="25"/>
        <v>1.1841412420461592E-2</v>
      </c>
      <c r="I162" s="49"/>
      <c r="J162" s="50"/>
    </row>
    <row r="163" spans="1:12" ht="19.5" hidden="1" customHeight="1" x14ac:dyDescent="0.75">
      <c r="A163" s="63" t="s">
        <v>108</v>
      </c>
      <c r="B163" s="44" t="s">
        <v>100</v>
      </c>
      <c r="C163" s="65">
        <f>I167</f>
        <v>375.64624500000252</v>
      </c>
      <c r="D163" s="65">
        <f>J167</f>
        <v>668.94807128846276</v>
      </c>
      <c r="E163" s="65">
        <f>K167</f>
        <v>7.9212899999990292</v>
      </c>
      <c r="F163" s="65">
        <f>L167</f>
        <v>891.89669168315629</v>
      </c>
      <c r="G163" s="47">
        <f t="shared" si="24"/>
        <v>2.3742995000073814</v>
      </c>
      <c r="H163" s="48">
        <f t="shared" si="25"/>
        <v>1.1841412420461592E-2</v>
      </c>
      <c r="I163" s="28">
        <f>C162*5%</f>
        <v>50.694500000000339</v>
      </c>
      <c r="J163" s="28">
        <f>D162*5%</f>
        <v>90.276392886432234</v>
      </c>
      <c r="K163" s="28">
        <f>E162*5%</f>
        <v>1.0689999999998692</v>
      </c>
      <c r="L163" s="28">
        <f>F162*5%</f>
        <v>120.36392600312502</v>
      </c>
    </row>
    <row r="164" spans="1:12" ht="19.5" hidden="1" customHeight="1" x14ac:dyDescent="0.75">
      <c r="A164" s="43" t="s">
        <v>110</v>
      </c>
      <c r="B164" s="44" t="s">
        <v>100</v>
      </c>
      <c r="C164" s="93">
        <v>18844.130000000008</v>
      </c>
      <c r="D164" s="46">
        <f>[7]VC!J5</f>
        <v>13034.254537421988</v>
      </c>
      <c r="E164" s="46">
        <f>[7]VC!K5</f>
        <v>9397.6399999999976</v>
      </c>
      <c r="F164" s="46">
        <f>[7]VC!L5</f>
        <v>26274.200443207708</v>
      </c>
      <c r="G164" s="47">
        <f t="shared" si="24"/>
        <v>1.3942909777850023</v>
      </c>
      <c r="H164" s="48">
        <f t="shared" si="25"/>
        <v>0.72099558689903664</v>
      </c>
      <c r="I164" s="28">
        <f>C162-I163</f>
        <v>963.1955000000064</v>
      </c>
      <c r="J164" s="28">
        <f>D162-J163</f>
        <v>1715.2514648422123</v>
      </c>
      <c r="K164" s="28">
        <f>E162-K163</f>
        <v>20.310999999997513</v>
      </c>
      <c r="L164" s="28">
        <f>F162-L163</f>
        <v>2286.9145940593753</v>
      </c>
    </row>
    <row r="165" spans="1:12" ht="19.5" hidden="1" customHeight="1" x14ac:dyDescent="0.75">
      <c r="A165" s="43" t="s">
        <v>112</v>
      </c>
      <c r="B165" s="44" t="s">
        <v>113</v>
      </c>
      <c r="C165" s="64">
        <f>C164/C168*1000/12</f>
        <v>5033.1543803418826</v>
      </c>
      <c r="D165" s="64">
        <f>D164/D168*1000</f>
        <v>36716.209964568981</v>
      </c>
      <c r="E165" s="64">
        <f>E164/E168*1000</f>
        <v>30120.641025641016</v>
      </c>
      <c r="F165" s="64">
        <f>F164/F168*1000</f>
        <v>74011.832234387912</v>
      </c>
      <c r="G165" s="47">
        <f t="shared" si="24"/>
        <v>14.704860340357884</v>
      </c>
      <c r="H165" s="48">
        <f t="shared" si="25"/>
        <v>0.82036356842678837</v>
      </c>
      <c r="I165" s="28">
        <f>I164*35%</f>
        <v>337.11842500000222</v>
      </c>
      <c r="J165" s="28">
        <f>J164*35%</f>
        <v>600.33801269477431</v>
      </c>
      <c r="K165" s="28">
        <f>K164*35%</f>
        <v>7.108849999999129</v>
      </c>
      <c r="L165" s="28">
        <f>L164*35%</f>
        <v>800.42010792078133</v>
      </c>
    </row>
    <row r="166" spans="1:12" ht="19.5" hidden="1" customHeight="1" x14ac:dyDescent="0.75">
      <c r="A166" s="43" t="s">
        <v>116</v>
      </c>
      <c r="B166" s="44" t="s">
        <v>100</v>
      </c>
      <c r="C166" s="93">
        <v>9581.0400000000009</v>
      </c>
      <c r="D166" s="46">
        <f>'[7]VC B'!J30</f>
        <v>6230.9885423271553</v>
      </c>
      <c r="E166" s="46">
        <f>'[7]VC B'!K30</f>
        <v>4853.17</v>
      </c>
      <c r="F166" s="46">
        <f>'[7]VC B'!L30</f>
        <v>13895.764641298496</v>
      </c>
      <c r="G166" s="47">
        <f t="shared" si="24"/>
        <v>1.4503399047805348</v>
      </c>
      <c r="H166" s="48">
        <f t="shared" si="25"/>
        <v>0.7788764121507169</v>
      </c>
      <c r="I166" s="28">
        <f>I164-I165</f>
        <v>626.07707500000424</v>
      </c>
      <c r="J166" s="28">
        <f>J164-J165</f>
        <v>1114.913452147438</v>
      </c>
      <c r="K166" s="28">
        <f>K164-K165</f>
        <v>13.202149999998383</v>
      </c>
      <c r="L166" s="28">
        <f>L164-L165</f>
        <v>1486.4944861385939</v>
      </c>
    </row>
    <row r="167" spans="1:12" ht="19.5" hidden="1" customHeight="1" x14ac:dyDescent="0.75">
      <c r="A167" s="43" t="s">
        <v>118</v>
      </c>
      <c r="B167" s="44" t="s">
        <v>100</v>
      </c>
      <c r="C167" s="93">
        <v>8752.17</v>
      </c>
      <c r="D167" s="46">
        <f>D166*88.5%</f>
        <v>5514.4248599595321</v>
      </c>
      <c r="E167" s="46">
        <f>E166*88.5%</f>
        <v>4295.0554499999998</v>
      </c>
      <c r="F167" s="46">
        <f>F166*88.5%</f>
        <v>12297.751707549169</v>
      </c>
      <c r="G167" s="47">
        <f t="shared" si="24"/>
        <v>1.4051088710056099</v>
      </c>
      <c r="H167" s="48">
        <f t="shared" si="25"/>
        <v>0.7788764121507169</v>
      </c>
      <c r="I167" s="28">
        <f>I166*60%</f>
        <v>375.64624500000252</v>
      </c>
      <c r="J167" s="28">
        <f>J166*60%</f>
        <v>668.94807128846276</v>
      </c>
      <c r="K167" s="28">
        <f>K166*60%</f>
        <v>7.9212899999990292</v>
      </c>
      <c r="L167" s="28">
        <f>L166*60%</f>
        <v>891.89669168315629</v>
      </c>
    </row>
    <row r="168" spans="1:12" ht="19.5" hidden="1" customHeight="1" x14ac:dyDescent="0.75">
      <c r="A168" s="43" t="s">
        <v>120</v>
      </c>
      <c r="B168" s="44" t="s">
        <v>121</v>
      </c>
      <c r="C168" s="94">
        <v>312</v>
      </c>
      <c r="D168" s="72">
        <f>[7]VC!J56</f>
        <v>355</v>
      </c>
      <c r="E168" s="72">
        <f>[7]VC!K56</f>
        <v>312</v>
      </c>
      <c r="F168" s="72">
        <f>'[7]EMPLEO Y SALARIO'!L13</f>
        <v>355</v>
      </c>
      <c r="G168" s="47">
        <f t="shared" si="24"/>
        <v>1.1378205128205128</v>
      </c>
      <c r="H168" s="48">
        <f t="shared" si="25"/>
        <v>0.87887323943661977</v>
      </c>
      <c r="I168" s="49"/>
      <c r="J168" s="50"/>
    </row>
    <row r="169" spans="1:12" ht="19.5" hidden="1" customHeight="1" x14ac:dyDescent="0.75">
      <c r="A169" s="43" t="s">
        <v>123</v>
      </c>
      <c r="B169" s="44" t="s">
        <v>124</v>
      </c>
      <c r="C169" s="93">
        <f>C166/C168/12*1000</f>
        <v>2559.0384615384619</v>
      </c>
      <c r="D169" s="64">
        <f>D166/D168*1000</f>
        <v>17552.080400921564</v>
      </c>
      <c r="E169" s="64">
        <f>E166/E168*1000</f>
        <v>15555.032051282051</v>
      </c>
      <c r="F169" s="64">
        <f>F166/F168/12*1000</f>
        <v>3261.9165824644356</v>
      </c>
      <c r="G169" s="47">
        <f t="shared" si="24"/>
        <v>1.274664930398667</v>
      </c>
      <c r="H169" s="48">
        <f t="shared" si="25"/>
        <v>0.88622155869712971</v>
      </c>
      <c r="I169" s="49"/>
      <c r="J169" s="50"/>
    </row>
    <row r="170" spans="1:12" ht="19.5" hidden="1" customHeight="1" x14ac:dyDescent="0.75">
      <c r="A170" s="43" t="s">
        <v>127</v>
      </c>
      <c r="B170" s="44" t="s">
        <v>124</v>
      </c>
      <c r="C170" s="93">
        <f>C160*1000/C168/12</f>
        <v>12305.427350427351</v>
      </c>
      <c r="D170" s="77">
        <f>D160*1000/D168</f>
        <v>84739.316628016095</v>
      </c>
      <c r="E170" s="77">
        <f>E160*1000/E168</f>
        <v>81519.903846153844</v>
      </c>
      <c r="F170" s="77">
        <f>F160*1000/F168/12</f>
        <v>13506.384976525822</v>
      </c>
      <c r="G170" s="47">
        <f t="shared" si="24"/>
        <v>1.0975957674527055</v>
      </c>
      <c r="H170" s="48">
        <f t="shared" si="25"/>
        <v>0.96200803936153212</v>
      </c>
      <c r="I170" s="49"/>
      <c r="J170" s="50"/>
    </row>
    <row r="171" spans="1:12" ht="19.5" hidden="1" customHeight="1" x14ac:dyDescent="0.75">
      <c r="A171" s="79" t="s">
        <v>128</v>
      </c>
      <c r="B171" s="80" t="s">
        <v>129</v>
      </c>
      <c r="C171" s="95"/>
      <c r="D171" s="81"/>
      <c r="E171" s="82"/>
      <c r="F171" s="81"/>
      <c r="G171" s="83">
        <f>G169/G165</f>
        <v>8.6683239479691948E-2</v>
      </c>
      <c r="H171" s="83">
        <f>H169/H165</f>
        <v>1.0802790284759198</v>
      </c>
      <c r="I171" s="84"/>
      <c r="J171" s="85"/>
    </row>
    <row r="172" spans="1:12" ht="19.5" hidden="1" customHeight="1" x14ac:dyDescent="0.75">
      <c r="A172" s="79" t="s">
        <v>132</v>
      </c>
      <c r="B172" s="80" t="s">
        <v>129</v>
      </c>
      <c r="C172" s="95"/>
      <c r="D172" s="81"/>
      <c r="E172" s="82"/>
      <c r="F172" s="81"/>
      <c r="G172" s="83">
        <f>G166/G163</f>
        <v>0.61084960207253791</v>
      </c>
      <c r="H172" s="83">
        <f>H166/H163</f>
        <v>65.775634231339055</v>
      </c>
      <c r="I172" s="84"/>
      <c r="J172" s="85"/>
    </row>
    <row r="173" spans="1:12" ht="19.5" hidden="1" customHeight="1" x14ac:dyDescent="0.75">
      <c r="A173" s="79" t="s">
        <v>133</v>
      </c>
      <c r="B173" s="80" t="s">
        <v>129</v>
      </c>
      <c r="C173" s="99">
        <f>C166/C163</f>
        <v>25.505485886062662</v>
      </c>
      <c r="D173" s="86">
        <f>D166/D163</f>
        <v>9.3146072315084645</v>
      </c>
      <c r="E173" s="86">
        <f>E166/E163</f>
        <v>612.67419826828643</v>
      </c>
      <c r="F173" s="86">
        <f>F166/F163</f>
        <v>15.580015904168109</v>
      </c>
      <c r="G173" s="87"/>
      <c r="H173" s="84"/>
      <c r="I173" s="84"/>
      <c r="J173" s="85"/>
    </row>
    <row r="174" spans="1:12" ht="19.5" hidden="1" customHeight="1" x14ac:dyDescent="0.75">
      <c r="A174" s="79" t="s">
        <v>135</v>
      </c>
      <c r="B174" s="80" t="s">
        <v>129</v>
      </c>
      <c r="C174" s="99">
        <f>C166/C164</f>
        <v>0.50843631412009982</v>
      </c>
      <c r="D174" s="86">
        <f>D166/D164</f>
        <v>0.47804717365597549</v>
      </c>
      <c r="E174" s="86">
        <f>E166/E164</f>
        <v>0.51642433632273643</v>
      </c>
      <c r="F174" s="86">
        <f>F166/F164</f>
        <v>0.52887488132453397</v>
      </c>
      <c r="G174" s="87"/>
      <c r="H174" s="84"/>
      <c r="I174" s="84"/>
      <c r="J174" s="85"/>
    </row>
    <row r="175" spans="1:12" ht="19.5" hidden="1" customHeight="1" x14ac:dyDescent="0.75">
      <c r="A175" s="79" t="s">
        <v>138</v>
      </c>
      <c r="B175" s="80" t="s">
        <v>100</v>
      </c>
      <c r="C175" s="88"/>
      <c r="D175" s="89"/>
      <c r="E175" s="89"/>
      <c r="F175" s="89"/>
      <c r="G175" s="104"/>
      <c r="H175" s="91"/>
      <c r="I175" s="91"/>
      <c r="J175" s="85"/>
    </row>
    <row r="176" spans="1:12" ht="19.5" hidden="1" customHeight="1" x14ac:dyDescent="0.75">
      <c r="A176" s="79" t="s">
        <v>140</v>
      </c>
      <c r="B176" s="80" t="s">
        <v>100</v>
      </c>
      <c r="C176" s="88"/>
      <c r="D176" s="89"/>
      <c r="E176" s="89"/>
      <c r="F176" s="89"/>
      <c r="G176" s="104"/>
      <c r="H176" s="91"/>
      <c r="I176" s="91"/>
      <c r="J176" s="85"/>
    </row>
    <row r="177" spans="1:12" hidden="1" x14ac:dyDescent="0.6"/>
    <row r="178" spans="1:12" hidden="1" x14ac:dyDescent="0.6">
      <c r="A178" s="27" t="s">
        <v>158</v>
      </c>
    </row>
    <row r="179" spans="1:12" ht="12.75" hidden="1" customHeight="1" x14ac:dyDescent="0.6">
      <c r="A179" s="383" t="s">
        <v>81</v>
      </c>
      <c r="B179" s="384" t="s">
        <v>82</v>
      </c>
      <c r="C179" s="386" t="s">
        <v>83</v>
      </c>
      <c r="D179" s="388" t="s">
        <v>84</v>
      </c>
      <c r="E179" s="389"/>
      <c r="F179" s="383" t="s">
        <v>85</v>
      </c>
      <c r="G179" s="390" t="s">
        <v>86</v>
      </c>
      <c r="H179" s="391"/>
      <c r="I179" s="29"/>
      <c r="J179" s="30"/>
    </row>
    <row r="180" spans="1:12" ht="31.5" hidden="1" x14ac:dyDescent="0.6">
      <c r="A180" s="383"/>
      <c r="B180" s="385"/>
      <c r="C180" s="387"/>
      <c r="D180" s="32" t="s">
        <v>90</v>
      </c>
      <c r="E180" s="32" t="s">
        <v>91</v>
      </c>
      <c r="F180" s="383"/>
      <c r="G180" s="33" t="s">
        <v>92</v>
      </c>
      <c r="H180" s="34" t="s">
        <v>93</v>
      </c>
      <c r="I180" s="35"/>
      <c r="J180" s="36"/>
    </row>
    <row r="181" spans="1:12" hidden="1" x14ac:dyDescent="0.6">
      <c r="A181" s="38">
        <v>1</v>
      </c>
      <c r="B181" s="38">
        <v>2</v>
      </c>
      <c r="C181" s="39"/>
      <c r="D181" s="38">
        <v>8</v>
      </c>
      <c r="E181" s="38">
        <v>9</v>
      </c>
      <c r="F181" s="38">
        <v>5</v>
      </c>
      <c r="G181" s="40">
        <v>10</v>
      </c>
      <c r="H181" s="38">
        <v>11</v>
      </c>
      <c r="I181" s="41"/>
      <c r="J181" s="42"/>
    </row>
    <row r="182" spans="1:12" ht="19.5" hidden="1" customHeight="1" x14ac:dyDescent="0.75">
      <c r="A182" s="43" t="s">
        <v>99</v>
      </c>
      <c r="B182" s="44" t="s">
        <v>100</v>
      </c>
      <c r="C182" s="93">
        <v>96747.450000000012</v>
      </c>
      <c r="D182" s="46">
        <f>[7]RESULTADO!C14</f>
        <v>50142.81</v>
      </c>
      <c r="E182" s="46">
        <f>[7]RESULTADO!D14</f>
        <v>62463.799999999996</v>
      </c>
      <c r="F182" s="46">
        <f>[7]CFG!L9</f>
        <v>107786.7</v>
      </c>
      <c r="G182" s="47">
        <f>F182/C182</f>
        <v>1.1141037825803159</v>
      </c>
      <c r="H182" s="48">
        <f>E182/D182</f>
        <v>1.2457179803046539</v>
      </c>
      <c r="I182" s="49"/>
      <c r="J182" s="50"/>
    </row>
    <row r="183" spans="1:12" ht="19.5" hidden="1" customHeight="1" x14ac:dyDescent="0.75">
      <c r="A183" s="43" t="s">
        <v>105</v>
      </c>
      <c r="B183" s="44" t="s">
        <v>100</v>
      </c>
      <c r="C183" s="93">
        <v>96021.420000000013</v>
      </c>
      <c r="D183" s="46">
        <f>[7]RESULTADO!P14</f>
        <v>50142.81</v>
      </c>
      <c r="E183" s="46">
        <f>[7]RESULTADO!Q14</f>
        <v>62112.219999999994</v>
      </c>
      <c r="F183" s="46">
        <f>[7]CFG!K10</f>
        <v>62112.219999999994</v>
      </c>
      <c r="G183" s="47">
        <f t="shared" ref="G183:G192" si="26">F183/C183</f>
        <v>0.64685796148401042</v>
      </c>
      <c r="H183" s="48">
        <f t="shared" ref="H183:H192" si="27">E183/D183</f>
        <v>1.2387064067610092</v>
      </c>
      <c r="I183" s="49"/>
      <c r="J183" s="50"/>
    </row>
    <row r="184" spans="1:12" ht="19.5" hidden="1" customHeight="1" x14ac:dyDescent="0.75">
      <c r="A184" s="43" t="s">
        <v>107</v>
      </c>
      <c r="B184" s="44" t="s">
        <v>100</v>
      </c>
      <c r="C184" s="93">
        <v>10056.300000000017</v>
      </c>
      <c r="D184" s="46">
        <f>[7]RESULTADO!L14</f>
        <v>5959.4072440300006</v>
      </c>
      <c r="E184" s="46">
        <f>[7]RESULTADO!M14</f>
        <v>5677.419999999991</v>
      </c>
      <c r="F184" s="46">
        <f>[7]CFG!L35</f>
        <v>13894.199999999997</v>
      </c>
      <c r="G184" s="47">
        <f t="shared" si="26"/>
        <v>1.3816413591479941</v>
      </c>
      <c r="H184" s="48">
        <f t="shared" si="27"/>
        <v>0.95268199797681252</v>
      </c>
      <c r="I184" s="49"/>
      <c r="J184" s="50"/>
    </row>
    <row r="185" spans="1:12" ht="19.5" hidden="1" customHeight="1" x14ac:dyDescent="0.75">
      <c r="A185" s="63" t="s">
        <v>108</v>
      </c>
      <c r="B185" s="44" t="s">
        <v>100</v>
      </c>
      <c r="C185" s="65">
        <f>I189</f>
        <v>3725.8591500000066</v>
      </c>
      <c r="D185" s="65">
        <f>J189</f>
        <v>2207.960383913115</v>
      </c>
      <c r="E185" s="65">
        <f>K189</f>
        <v>2103.4841099999967</v>
      </c>
      <c r="F185" s="65">
        <f>L189</f>
        <v>5147.8010999999997</v>
      </c>
      <c r="G185" s="47">
        <f t="shared" si="26"/>
        <v>1.3816413591479944</v>
      </c>
      <c r="H185" s="48">
        <f t="shared" si="27"/>
        <v>0.95268199797681263</v>
      </c>
      <c r="I185" s="28">
        <f>C184*5%</f>
        <v>502.81500000000091</v>
      </c>
      <c r="J185" s="28">
        <f>D184*5%</f>
        <v>297.97036220150005</v>
      </c>
      <c r="K185" s="28">
        <f>E184*5%</f>
        <v>283.87099999999958</v>
      </c>
      <c r="L185" s="28">
        <f>F184*5%</f>
        <v>694.70999999999992</v>
      </c>
    </row>
    <row r="186" spans="1:12" ht="19.5" hidden="1" customHeight="1" x14ac:dyDescent="0.75">
      <c r="A186" s="43" t="s">
        <v>110</v>
      </c>
      <c r="B186" s="44" t="s">
        <v>100</v>
      </c>
      <c r="C186" s="93">
        <v>26697.260000000017</v>
      </c>
      <c r="D186" s="46">
        <f>'[7]EMPLEO Y SALARIO'!C14</f>
        <v>18553.023444029997</v>
      </c>
      <c r="E186" s="46">
        <f>'[7]EMPLEO Y SALARIO'!D14</f>
        <v>15834.939999999991</v>
      </c>
      <c r="F186" s="46">
        <f>[7]CFG!L5</f>
        <v>38699.631099999999</v>
      </c>
      <c r="G186" s="47">
        <f t="shared" si="26"/>
        <v>1.4495731434611632</v>
      </c>
      <c r="H186" s="48">
        <f t="shared" si="27"/>
        <v>0.85349646906716803</v>
      </c>
      <c r="I186" s="28">
        <f>C184-I185</f>
        <v>9553.485000000017</v>
      </c>
      <c r="J186" s="28">
        <f>D184-J185</f>
        <v>5661.4368818285002</v>
      </c>
      <c r="K186" s="28">
        <f>E184-K185</f>
        <v>5393.5489999999918</v>
      </c>
      <c r="L186" s="28">
        <f>F184-L185</f>
        <v>13199.489999999998</v>
      </c>
    </row>
    <row r="187" spans="1:12" ht="19.5" hidden="1" customHeight="1" x14ac:dyDescent="0.75">
      <c r="A187" s="43" t="s">
        <v>112</v>
      </c>
      <c r="B187" s="44" t="s">
        <v>113</v>
      </c>
      <c r="C187" s="93">
        <f>C186*1000/12/C190</f>
        <v>10644.840510366832</v>
      </c>
      <c r="D187" s="64">
        <f>'[7]EMPLEO Y SALARIO'!I34</f>
        <v>13502.928270764191</v>
      </c>
      <c r="E187" s="64">
        <f>'[7]EMPLEO Y SALARIO'!J34</f>
        <v>12627.543859649115</v>
      </c>
      <c r="F187" s="64">
        <f>F186*1000/12/F190</f>
        <v>14082.83518922853</v>
      </c>
      <c r="G187" s="47">
        <f t="shared" si="26"/>
        <v>1.3229728689230704</v>
      </c>
      <c r="H187" s="48">
        <f t="shared" si="27"/>
        <v>0.93517077232718393</v>
      </c>
      <c r="I187" s="28">
        <f>I186*35%</f>
        <v>3343.7197500000057</v>
      </c>
      <c r="J187" s="28">
        <f>J186*35%</f>
        <v>1981.502908639975</v>
      </c>
      <c r="K187" s="28">
        <f>K186*35%</f>
        <v>1887.7421499999971</v>
      </c>
      <c r="L187" s="28">
        <f>L186*35%</f>
        <v>4619.8214999999991</v>
      </c>
    </row>
    <row r="188" spans="1:12" ht="19.5" hidden="1" customHeight="1" x14ac:dyDescent="0.75">
      <c r="A188" s="43" t="s">
        <v>116</v>
      </c>
      <c r="B188" s="44" t="s">
        <v>100</v>
      </c>
      <c r="C188" s="93">
        <v>8507.94</v>
      </c>
      <c r="D188" s="46">
        <f>'[7]EMPLEO Y SALARIO'!I14</f>
        <v>6337.4899999999989</v>
      </c>
      <c r="E188" s="46">
        <f>'[7]EMPLEO Y SALARIO'!J14</f>
        <v>4825.82</v>
      </c>
      <c r="F188" s="46">
        <f>'[7]CFG B'!L30</f>
        <v>11726.390000000001</v>
      </c>
      <c r="G188" s="47">
        <f t="shared" si="26"/>
        <v>1.3782878111505252</v>
      </c>
      <c r="H188" s="48">
        <f t="shared" si="27"/>
        <v>0.76147181297327504</v>
      </c>
      <c r="I188" s="28">
        <f>I186-I187</f>
        <v>6209.7652500000113</v>
      </c>
      <c r="J188" s="28">
        <f>J186-J187</f>
        <v>3679.9339731885252</v>
      </c>
      <c r="K188" s="28">
        <f>K186-K187</f>
        <v>3505.8068499999945</v>
      </c>
      <c r="L188" s="28">
        <f>L186-L187</f>
        <v>8579.6684999999998</v>
      </c>
    </row>
    <row r="189" spans="1:12" ht="21" hidden="1" customHeight="1" x14ac:dyDescent="0.75">
      <c r="A189" s="43" t="s">
        <v>118</v>
      </c>
      <c r="B189" s="44" t="s">
        <v>100</v>
      </c>
      <c r="C189" s="93">
        <v>7512.64</v>
      </c>
      <c r="D189" s="46">
        <f>D188*88.5%</f>
        <v>5608.6786499999989</v>
      </c>
      <c r="E189" s="46">
        <f>E188*88.5%</f>
        <v>4270.8507</v>
      </c>
      <c r="F189" s="46">
        <f>F188*88.5%</f>
        <v>10377.855150000001</v>
      </c>
      <c r="G189" s="47">
        <f t="shared" si="26"/>
        <v>1.3813859242556545</v>
      </c>
      <c r="H189" s="48">
        <f t="shared" si="27"/>
        <v>0.76147181297327504</v>
      </c>
      <c r="I189" s="28">
        <f>I188*60%</f>
        <v>3725.8591500000066</v>
      </c>
      <c r="J189" s="28">
        <f>J188*60%</f>
        <v>2207.960383913115</v>
      </c>
      <c r="K189" s="28">
        <f>K188*60%</f>
        <v>2103.4841099999967</v>
      </c>
      <c r="L189" s="28">
        <f>L188*60%</f>
        <v>5147.8010999999997</v>
      </c>
    </row>
    <row r="190" spans="1:12" ht="19.5" hidden="1" customHeight="1" x14ac:dyDescent="0.75">
      <c r="A190" s="43" t="s">
        <v>120</v>
      </c>
      <c r="B190" s="44" t="s">
        <v>121</v>
      </c>
      <c r="C190" s="94">
        <v>209</v>
      </c>
      <c r="D190" s="72">
        <f>[7]CFG!J56</f>
        <v>229</v>
      </c>
      <c r="E190" s="72">
        <f>[7]CFG!K56</f>
        <v>209</v>
      </c>
      <c r="F190" s="72">
        <v>229</v>
      </c>
      <c r="G190" s="47">
        <f t="shared" si="26"/>
        <v>1.0956937799043063</v>
      </c>
      <c r="H190" s="48">
        <f t="shared" si="27"/>
        <v>0.9126637554585153</v>
      </c>
      <c r="I190" s="49"/>
      <c r="J190" s="50"/>
    </row>
    <row r="191" spans="1:12" ht="19.5" hidden="1" customHeight="1" x14ac:dyDescent="0.75">
      <c r="A191" s="43" t="s">
        <v>123</v>
      </c>
      <c r="B191" s="44" t="s">
        <v>124</v>
      </c>
      <c r="C191" s="93">
        <f>C188/C190/12*1000</f>
        <v>3392.3205741626798</v>
      </c>
      <c r="D191" s="64">
        <f>'[7]EMPLEO Y SALARIO'!F34</f>
        <v>4612.4381368267823</v>
      </c>
      <c r="E191" s="64">
        <f>'[7]EMPLEO Y SALARIO'!G34</f>
        <v>3848.341307814992</v>
      </c>
      <c r="F191" s="64">
        <f>F188/F190*1000/12</f>
        <v>4267.2452692867546</v>
      </c>
      <c r="G191" s="47">
        <f t="shared" si="26"/>
        <v>1.2579133298273353</v>
      </c>
      <c r="H191" s="48">
        <f t="shared" si="27"/>
        <v>0.83433992904727261</v>
      </c>
      <c r="I191" s="49"/>
      <c r="J191" s="50"/>
    </row>
    <row r="192" spans="1:12" ht="19.5" hidden="1" customHeight="1" x14ac:dyDescent="0.75">
      <c r="A192" s="43" t="s">
        <v>127</v>
      </c>
      <c r="B192" s="44" t="s">
        <v>124</v>
      </c>
      <c r="C192" s="93">
        <f>C182*1000/C190/12</f>
        <v>38575.538277511972</v>
      </c>
      <c r="D192" s="77">
        <f>D182*1000/D190/2</f>
        <v>109482.11790393014</v>
      </c>
      <c r="E192" s="77">
        <f>E182*1000/E190/2</f>
        <v>149434.92822966506</v>
      </c>
      <c r="F192" s="77">
        <f>F182*1000/F190/12</f>
        <v>39223.68995633188</v>
      </c>
      <c r="G192" s="47">
        <f t="shared" si="26"/>
        <v>1.0168021421802882</v>
      </c>
      <c r="H192" s="48">
        <f t="shared" si="27"/>
        <v>1.3649254425347641</v>
      </c>
      <c r="I192" s="49"/>
      <c r="J192" s="50"/>
    </row>
    <row r="193" spans="1:12" ht="19.5" hidden="1" customHeight="1" x14ac:dyDescent="0.75">
      <c r="A193" s="79" t="s">
        <v>148</v>
      </c>
      <c r="B193" s="80" t="s">
        <v>129</v>
      </c>
      <c r="C193" s="95"/>
      <c r="D193" s="81"/>
      <c r="E193" s="82"/>
      <c r="F193" s="81"/>
      <c r="G193" s="96">
        <f>G191/G187</f>
        <v>0.95082322500786043</v>
      </c>
      <c r="H193" s="96">
        <f>H191/H187</f>
        <v>0.89217921874419526</v>
      </c>
      <c r="I193" s="101"/>
      <c r="J193" s="102"/>
    </row>
    <row r="194" spans="1:12" ht="19.5" hidden="1" customHeight="1" x14ac:dyDescent="0.75">
      <c r="A194" s="79" t="s">
        <v>149</v>
      </c>
      <c r="B194" s="80" t="s">
        <v>129</v>
      </c>
      <c r="C194" s="95"/>
      <c r="D194" s="81"/>
      <c r="E194" s="82"/>
      <c r="F194" s="81"/>
      <c r="G194" s="96">
        <f>G188/G185</f>
        <v>0.99757277966871438</v>
      </c>
      <c r="H194" s="96">
        <f>H188/H185</f>
        <v>0.79929274888199209</v>
      </c>
      <c r="I194" s="101"/>
      <c r="J194" s="102"/>
    </row>
    <row r="195" spans="1:12" ht="19.5" hidden="1" customHeight="1" x14ac:dyDescent="0.75">
      <c r="A195" s="79" t="s">
        <v>159</v>
      </c>
      <c r="B195" s="80" t="s">
        <v>129</v>
      </c>
      <c r="C195" s="99">
        <f>C188/C185</f>
        <v>2.2834840656818671</v>
      </c>
      <c r="D195" s="86">
        <f>D188/D185</f>
        <v>2.870291535198751</v>
      </c>
      <c r="E195" s="86">
        <f>E188/E185</f>
        <v>2.2942032112617228</v>
      </c>
      <c r="F195" s="86">
        <f>F188/F185</f>
        <v>2.2779415467314776</v>
      </c>
      <c r="G195" s="87"/>
      <c r="H195" s="84"/>
      <c r="I195" s="84"/>
      <c r="J195" s="85"/>
    </row>
    <row r="196" spans="1:12" ht="19.5" hidden="1" customHeight="1" x14ac:dyDescent="0.75">
      <c r="A196" s="79" t="s">
        <v>135</v>
      </c>
      <c r="B196" s="80" t="s">
        <v>129</v>
      </c>
      <c r="C196" s="99">
        <f>C188/C186</f>
        <v>0.31868214191269051</v>
      </c>
      <c r="D196" s="86">
        <f>D188/D186</f>
        <v>0.34158799071853058</v>
      </c>
      <c r="E196" s="86">
        <f>E188/E186</f>
        <v>0.30475770669165797</v>
      </c>
      <c r="F196" s="86">
        <f>F188/F186</f>
        <v>0.30301038192583707</v>
      </c>
      <c r="G196" s="87"/>
      <c r="H196" s="84"/>
      <c r="I196" s="84"/>
      <c r="J196" s="85"/>
    </row>
    <row r="197" spans="1:12" ht="19.5" hidden="1" customHeight="1" x14ac:dyDescent="0.75">
      <c r="A197" s="79" t="s">
        <v>152</v>
      </c>
      <c r="B197" s="80" t="s">
        <v>100</v>
      </c>
      <c r="C197" s="88"/>
      <c r="D197" s="89"/>
      <c r="E197" s="89"/>
      <c r="F197" s="89"/>
      <c r="G197" s="107"/>
      <c r="H197" s="91"/>
      <c r="I197" s="91"/>
      <c r="J197" s="85"/>
    </row>
    <row r="198" spans="1:12" ht="19.5" hidden="1" customHeight="1" x14ac:dyDescent="0.75">
      <c r="A198" s="79" t="s">
        <v>140</v>
      </c>
      <c r="B198" s="80" t="s">
        <v>100</v>
      </c>
      <c r="C198" s="88"/>
      <c r="D198" s="89"/>
      <c r="E198" s="89"/>
      <c r="F198" s="89"/>
      <c r="G198" s="107"/>
      <c r="H198" s="91"/>
      <c r="I198" s="91"/>
      <c r="J198" s="85"/>
    </row>
    <row r="199" spans="1:12" hidden="1" x14ac:dyDescent="0.6"/>
    <row r="200" spans="1:12" hidden="1" x14ac:dyDescent="0.6">
      <c r="A200" s="27" t="s">
        <v>160</v>
      </c>
    </row>
    <row r="201" spans="1:12" ht="12.75" hidden="1" customHeight="1" x14ac:dyDescent="0.6">
      <c r="A201" s="383" t="s">
        <v>81</v>
      </c>
      <c r="B201" s="384" t="s">
        <v>82</v>
      </c>
      <c r="C201" s="386" t="s">
        <v>83</v>
      </c>
      <c r="D201" s="388" t="s">
        <v>84</v>
      </c>
      <c r="E201" s="389"/>
      <c r="F201" s="383" t="s">
        <v>85</v>
      </c>
      <c r="G201" s="390" t="s">
        <v>86</v>
      </c>
      <c r="H201" s="391"/>
      <c r="I201" s="29"/>
      <c r="J201" s="30"/>
    </row>
    <row r="202" spans="1:12" ht="31.5" hidden="1" x14ac:dyDescent="0.6">
      <c r="A202" s="383"/>
      <c r="B202" s="385"/>
      <c r="C202" s="387"/>
      <c r="D202" s="32" t="s">
        <v>90</v>
      </c>
      <c r="E202" s="32" t="s">
        <v>91</v>
      </c>
      <c r="F202" s="383"/>
      <c r="G202" s="33" t="s">
        <v>92</v>
      </c>
      <c r="H202" s="34" t="s">
        <v>93</v>
      </c>
      <c r="I202" s="35"/>
      <c r="J202" s="36"/>
    </row>
    <row r="203" spans="1:12" hidden="1" x14ac:dyDescent="0.6">
      <c r="A203" s="38">
        <v>1</v>
      </c>
      <c r="B203" s="38">
        <v>2</v>
      </c>
      <c r="C203" s="39"/>
      <c r="D203" s="38">
        <v>8</v>
      </c>
      <c r="E203" s="38">
        <v>9</v>
      </c>
      <c r="F203" s="38">
        <v>5</v>
      </c>
      <c r="G203" s="40">
        <v>10</v>
      </c>
      <c r="H203" s="38">
        <v>11</v>
      </c>
      <c r="I203" s="41"/>
      <c r="J203" s="42"/>
    </row>
    <row r="204" spans="1:12" ht="19.5" hidden="1" customHeight="1" x14ac:dyDescent="0.75">
      <c r="A204" s="43" t="s">
        <v>99</v>
      </c>
      <c r="B204" s="44" t="s">
        <v>100</v>
      </c>
      <c r="C204" s="93">
        <v>91324.7</v>
      </c>
      <c r="D204" s="46">
        <f>[7]SSP!J9</f>
        <v>33139.141466666661</v>
      </c>
      <c r="E204" s="46">
        <f>[7]SSP!K9</f>
        <v>46522.87</v>
      </c>
      <c r="F204" s="46">
        <f>[7]SSP!L9</f>
        <v>74381.201999999961</v>
      </c>
      <c r="G204" s="47">
        <f>F204/C204</f>
        <v>0.81446971082302999</v>
      </c>
      <c r="H204" s="48">
        <f>E204/D204</f>
        <v>1.4038646730421638</v>
      </c>
      <c r="I204" s="49"/>
      <c r="J204" s="50"/>
    </row>
    <row r="205" spans="1:12" ht="19.5" hidden="1" customHeight="1" x14ac:dyDescent="0.75">
      <c r="A205" s="43" t="s">
        <v>105</v>
      </c>
      <c r="B205" s="44" t="s">
        <v>100</v>
      </c>
      <c r="C205" s="93">
        <v>90979.75</v>
      </c>
      <c r="D205" s="46">
        <f>[7]SSP!J10</f>
        <v>33139.141466666661</v>
      </c>
      <c r="E205" s="46">
        <f>[7]SSP!K10</f>
        <v>46417.36</v>
      </c>
      <c r="F205" s="46">
        <f>[7]SSP!L10</f>
        <v>74381.201999999961</v>
      </c>
      <c r="G205" s="47">
        <f t="shared" ref="G205:G214" si="28">F205/C205</f>
        <v>0.81755777521921047</v>
      </c>
      <c r="H205" s="48">
        <f t="shared" ref="H205:H214" si="29">E205/D205</f>
        <v>1.4006808247186902</v>
      </c>
      <c r="I205" s="49"/>
      <c r="J205" s="50"/>
    </row>
    <row r="206" spans="1:12" ht="19.5" hidden="1" customHeight="1" x14ac:dyDescent="0.75">
      <c r="A206" s="43" t="s">
        <v>107</v>
      </c>
      <c r="B206" s="44" t="s">
        <v>100</v>
      </c>
      <c r="C206" s="93">
        <v>268.02000000000407</v>
      </c>
      <c r="D206" s="46">
        <f>[7]SSP!J35</f>
        <v>4539.7641812786387</v>
      </c>
      <c r="E206" s="46">
        <f>[7]SSP!K35</f>
        <v>1598.9000000000015</v>
      </c>
      <c r="F206" s="46">
        <f>[7]SSP!L35</f>
        <v>9465.3019999999597</v>
      </c>
      <c r="G206" s="47">
        <f t="shared" si="28"/>
        <v>35.315655548092735</v>
      </c>
      <c r="H206" s="48">
        <f t="shared" si="29"/>
        <v>0.35219891081427634</v>
      </c>
      <c r="I206" s="49"/>
      <c r="J206" s="50"/>
    </row>
    <row r="207" spans="1:12" ht="19.5" hidden="1" customHeight="1" x14ac:dyDescent="0.75">
      <c r="A207" s="63" t="s">
        <v>108</v>
      </c>
      <c r="B207" s="44" t="s">
        <v>100</v>
      </c>
      <c r="C207" s="65">
        <f>I211</f>
        <v>99.301410000001525</v>
      </c>
      <c r="D207" s="65">
        <f>J211</f>
        <v>1681.9826291637355</v>
      </c>
      <c r="E207" s="65">
        <f>K211</f>
        <v>592.39245000000051</v>
      </c>
      <c r="F207" s="65">
        <f>L211</f>
        <v>3506.8943909999853</v>
      </c>
      <c r="G207" s="47">
        <f t="shared" si="28"/>
        <v>35.315655548092735</v>
      </c>
      <c r="H207" s="48">
        <f t="shared" si="29"/>
        <v>0.35219891081427634</v>
      </c>
      <c r="I207" s="28">
        <f>C206*5%</f>
        <v>13.401000000000204</v>
      </c>
      <c r="J207" s="28">
        <f>D206*5%</f>
        <v>226.98820906393195</v>
      </c>
      <c r="K207" s="28">
        <f>E206*5%</f>
        <v>79.945000000000078</v>
      </c>
      <c r="L207" s="28">
        <f>F206*5%</f>
        <v>473.26509999999803</v>
      </c>
    </row>
    <row r="208" spans="1:12" ht="19.5" hidden="1" customHeight="1" x14ac:dyDescent="0.75">
      <c r="A208" s="43" t="s">
        <v>110</v>
      </c>
      <c r="B208" s="44" t="s">
        <v>100</v>
      </c>
      <c r="C208" s="93">
        <v>20194.580000000002</v>
      </c>
      <c r="D208" s="46">
        <f>[7]SSP!J5</f>
        <v>14021.661290611975</v>
      </c>
      <c r="E208" s="46">
        <f>[7]SSP!K5</f>
        <v>11149.630000000003</v>
      </c>
      <c r="F208" s="46">
        <f>[7]SSP!L5</f>
        <v>29063.214371333292</v>
      </c>
      <c r="G208" s="47">
        <f t="shared" si="28"/>
        <v>1.4391591393004108</v>
      </c>
      <c r="H208" s="48">
        <f t="shared" si="29"/>
        <v>0.79517182514350815</v>
      </c>
      <c r="I208" s="28">
        <f>C206-I207</f>
        <v>254.61900000000387</v>
      </c>
      <c r="J208" s="28">
        <f>D206-J207</f>
        <v>4312.7759722147066</v>
      </c>
      <c r="K208" s="28">
        <f>E206-K207</f>
        <v>1518.9550000000013</v>
      </c>
      <c r="L208" s="28">
        <f>F206-L207</f>
        <v>8992.036899999961</v>
      </c>
    </row>
    <row r="209" spans="1:12" ht="19.5" hidden="1" customHeight="1" x14ac:dyDescent="0.75">
      <c r="A209" s="43" t="s">
        <v>112</v>
      </c>
      <c r="B209" s="44" t="s">
        <v>113</v>
      </c>
      <c r="C209" s="64">
        <f>C208/C212*1000/12</f>
        <v>11686.678240740743</v>
      </c>
      <c r="D209" s="64">
        <f>D208/D212*1000</f>
        <v>58423.588710883232</v>
      </c>
      <c r="E209" s="64">
        <f>E208/E212*1000</f>
        <v>49775.133928571442</v>
      </c>
      <c r="F209" s="64">
        <f>F208/F212*1000</f>
        <v>121096.72654722205</v>
      </c>
      <c r="G209" s="47">
        <f t="shared" si="28"/>
        <v>10.361945802962957</v>
      </c>
      <c r="H209" s="48">
        <f t="shared" si="29"/>
        <v>0.85196981265375871</v>
      </c>
      <c r="I209" s="28">
        <f>I208*35%</f>
        <v>89.116650000001343</v>
      </c>
      <c r="J209" s="28">
        <f>J208*35%</f>
        <v>1509.4715902751473</v>
      </c>
      <c r="K209" s="28">
        <f>K208*35%</f>
        <v>531.63425000000041</v>
      </c>
      <c r="L209" s="28">
        <f>L208*35%</f>
        <v>3147.212914999986</v>
      </c>
    </row>
    <row r="210" spans="1:12" ht="19.5" hidden="1" customHeight="1" x14ac:dyDescent="0.75">
      <c r="A210" s="43" t="s">
        <v>116</v>
      </c>
      <c r="B210" s="44" t="s">
        <v>100</v>
      </c>
      <c r="C210" s="93">
        <v>7751.79</v>
      </c>
      <c r="D210" s="46">
        <f>'[7]SSP B'!J30</f>
        <v>4465.16</v>
      </c>
      <c r="E210" s="46">
        <f>'[7]SSP B'!K30</f>
        <v>3304.66</v>
      </c>
      <c r="F210" s="46">
        <f>'[7]SSP B'!L30</f>
        <v>9401.4699999999993</v>
      </c>
      <c r="G210" s="47">
        <f t="shared" si="28"/>
        <v>1.2128127825960198</v>
      </c>
      <c r="H210" s="48">
        <f t="shared" si="29"/>
        <v>0.74009889903161363</v>
      </c>
      <c r="I210" s="28">
        <f>I208-I209</f>
        <v>165.50235000000254</v>
      </c>
      <c r="J210" s="28">
        <f>J208-J209</f>
        <v>2803.3043819395593</v>
      </c>
      <c r="K210" s="28">
        <f>K208-K209</f>
        <v>987.32075000000088</v>
      </c>
      <c r="L210" s="28">
        <f>L208-L209</f>
        <v>5844.8239849999754</v>
      </c>
    </row>
    <row r="211" spans="1:12" ht="19.5" hidden="1" customHeight="1" x14ac:dyDescent="0.75">
      <c r="A211" s="43" t="s">
        <v>118</v>
      </c>
      <c r="B211" s="44" t="s">
        <v>100</v>
      </c>
      <c r="C211" s="93">
        <v>6928.58</v>
      </c>
      <c r="D211" s="46">
        <f>D210*88.5%</f>
        <v>3951.6666</v>
      </c>
      <c r="E211" s="46">
        <f>E210*88.5%</f>
        <v>2924.6241</v>
      </c>
      <c r="F211" s="46">
        <f>F210*88.5%</f>
        <v>8320.3009499999989</v>
      </c>
      <c r="G211" s="47">
        <f t="shared" si="28"/>
        <v>1.2008666927422356</v>
      </c>
      <c r="H211" s="48">
        <f t="shared" si="29"/>
        <v>0.74009889903161363</v>
      </c>
      <c r="I211" s="28">
        <f>I210*60%</f>
        <v>99.301410000001525</v>
      </c>
      <c r="J211" s="28">
        <f>J210*60%</f>
        <v>1681.9826291637355</v>
      </c>
      <c r="K211" s="28">
        <f>K210*60%</f>
        <v>592.39245000000051</v>
      </c>
      <c r="L211" s="28">
        <f>L210*60%</f>
        <v>3506.8943909999853</v>
      </c>
    </row>
    <row r="212" spans="1:12" ht="19.5" hidden="1" customHeight="1" x14ac:dyDescent="0.75">
      <c r="A212" s="43" t="s">
        <v>120</v>
      </c>
      <c r="B212" s="44" t="s">
        <v>121</v>
      </c>
      <c r="C212" s="94">
        <v>144</v>
      </c>
      <c r="D212" s="72">
        <f>[7]SSP!J56</f>
        <v>240</v>
      </c>
      <c r="E212" s="72">
        <f>[7]SSP!K56</f>
        <v>224</v>
      </c>
      <c r="F212" s="72">
        <f>'[7]EMPLEO Y SALARIO'!L15</f>
        <v>240</v>
      </c>
      <c r="G212" s="47">
        <f t="shared" si="28"/>
        <v>1.6666666666666667</v>
      </c>
      <c r="H212" s="48">
        <f t="shared" si="29"/>
        <v>0.93333333333333335</v>
      </c>
      <c r="I212" s="49"/>
      <c r="J212" s="50"/>
    </row>
    <row r="213" spans="1:12" ht="19.5" hidden="1" customHeight="1" x14ac:dyDescent="0.75">
      <c r="A213" s="43" t="s">
        <v>123</v>
      </c>
      <c r="B213" s="44" t="s">
        <v>124</v>
      </c>
      <c r="C213" s="93">
        <f>C210/C212/12*1000</f>
        <v>4485.989583333333</v>
      </c>
      <c r="D213" s="64">
        <f>D210/D212*1000</f>
        <v>18604.833333333332</v>
      </c>
      <c r="E213" s="64">
        <f>E210/E212*1000</f>
        <v>14752.946428571429</v>
      </c>
      <c r="F213" s="64">
        <f>F210/F212/12*1000</f>
        <v>3264.3993055555552</v>
      </c>
      <c r="G213" s="47">
        <f t="shared" si="28"/>
        <v>0.72768766955761177</v>
      </c>
      <c r="H213" s="48">
        <f t="shared" si="29"/>
        <v>0.79296310610530041</v>
      </c>
      <c r="I213" s="49"/>
      <c r="J213" s="50"/>
    </row>
    <row r="214" spans="1:12" ht="19.5" hidden="1" customHeight="1" x14ac:dyDescent="0.75">
      <c r="A214" s="43" t="s">
        <v>127</v>
      </c>
      <c r="B214" s="44" t="s">
        <v>124</v>
      </c>
      <c r="C214" s="93">
        <f>C204*1000/C212/12</f>
        <v>52849.942129629628</v>
      </c>
      <c r="D214" s="77">
        <f>D204*1000/D212</f>
        <v>138079.75611111108</v>
      </c>
      <c r="E214" s="77">
        <f>E204*1000/E212</f>
        <v>207691.38392857142</v>
      </c>
      <c r="F214" s="77">
        <f>F204*1000/F212/12</f>
        <v>25826.806249999983</v>
      </c>
      <c r="G214" s="47">
        <f t="shared" si="28"/>
        <v>0.48868182649381792</v>
      </c>
      <c r="H214" s="48">
        <f t="shared" si="29"/>
        <v>1.5041407211166038</v>
      </c>
      <c r="I214" s="49"/>
      <c r="J214" s="50"/>
    </row>
    <row r="215" spans="1:12" ht="19.5" hidden="1" customHeight="1" x14ac:dyDescent="0.75">
      <c r="A215" s="79" t="s">
        <v>128</v>
      </c>
      <c r="B215" s="80" t="s">
        <v>129</v>
      </c>
      <c r="C215" s="95"/>
      <c r="D215" s="81"/>
      <c r="E215" s="82"/>
      <c r="F215" s="81"/>
      <c r="G215" s="83">
        <f>G213/G209</f>
        <v>7.0226932604639983E-2</v>
      </c>
      <c r="H215" s="83">
        <f>H213/H209</f>
        <v>0.93074084824125258</v>
      </c>
      <c r="I215" s="84"/>
      <c r="J215" s="85"/>
    </row>
    <row r="216" spans="1:12" ht="19.5" hidden="1" customHeight="1" x14ac:dyDescent="0.75">
      <c r="A216" s="79" t="s">
        <v>132</v>
      </c>
      <c r="B216" s="80" t="s">
        <v>129</v>
      </c>
      <c r="C216" s="95"/>
      <c r="D216" s="81"/>
      <c r="E216" s="82"/>
      <c r="F216" s="81"/>
      <c r="G216" s="83">
        <f>G210/G207</f>
        <v>3.4342071916077438E-2</v>
      </c>
      <c r="H216" s="83">
        <f>H210/H207</f>
        <v>2.1013662345534256</v>
      </c>
      <c r="I216" s="84"/>
      <c r="J216" s="85"/>
    </row>
    <row r="217" spans="1:12" ht="19.5" hidden="1" customHeight="1" x14ac:dyDescent="0.75">
      <c r="A217" s="79" t="s">
        <v>133</v>
      </c>
      <c r="B217" s="80" t="s">
        <v>129</v>
      </c>
      <c r="C217" s="99">
        <f>C210/C207</f>
        <v>78.063242002302701</v>
      </c>
      <c r="D217" s="86">
        <f>D210/D207</f>
        <v>2.6547004247124906</v>
      </c>
      <c r="E217" s="86">
        <f>E210/E207</f>
        <v>5.5784978353454653</v>
      </c>
      <c r="F217" s="86">
        <f>F210/F207</f>
        <v>2.6808534708452356</v>
      </c>
      <c r="G217" s="87"/>
      <c r="H217" s="84"/>
      <c r="I217" s="84"/>
      <c r="J217" s="85"/>
    </row>
    <row r="218" spans="1:12" ht="19.5" hidden="1" customHeight="1" x14ac:dyDescent="0.75">
      <c r="A218" s="79" t="s">
        <v>135</v>
      </c>
      <c r="B218" s="80" t="s">
        <v>129</v>
      </c>
      <c r="C218" s="99">
        <f>C210/C208</f>
        <v>0.38385497494872384</v>
      </c>
      <c r="D218" s="86">
        <f>D210/D208</f>
        <v>0.31844728719767257</v>
      </c>
      <c r="E218" s="86">
        <f>E210/E208</f>
        <v>0.29639189820648748</v>
      </c>
      <c r="F218" s="86">
        <f>F210/F208</f>
        <v>0.32348348946815758</v>
      </c>
      <c r="G218" s="87"/>
      <c r="H218" s="84"/>
      <c r="I218" s="84"/>
      <c r="J218" s="85"/>
    </row>
    <row r="219" spans="1:12" ht="19.5" hidden="1" customHeight="1" x14ac:dyDescent="0.75">
      <c r="A219" s="79" t="s">
        <v>138</v>
      </c>
      <c r="B219" s="80" t="s">
        <v>100</v>
      </c>
      <c r="C219" s="88"/>
      <c r="D219" s="89"/>
      <c r="E219" s="89"/>
      <c r="F219" s="89"/>
      <c r="G219" s="90"/>
      <c r="H219" s="91"/>
      <c r="I219" s="91"/>
      <c r="J219" s="85"/>
    </row>
    <row r="220" spans="1:12" ht="19.5" hidden="1" customHeight="1" x14ac:dyDescent="0.75">
      <c r="A220" s="79" t="s">
        <v>140</v>
      </c>
      <c r="B220" s="80" t="s">
        <v>100</v>
      </c>
      <c r="C220" s="88"/>
      <c r="D220" s="89"/>
      <c r="E220" s="89"/>
      <c r="F220" s="89"/>
      <c r="G220" s="90"/>
      <c r="H220" s="91"/>
      <c r="I220" s="91"/>
      <c r="J220" s="85"/>
    </row>
    <row r="221" spans="1:12" hidden="1" x14ac:dyDescent="0.6"/>
    <row r="222" spans="1:12" hidden="1" x14ac:dyDescent="0.6">
      <c r="A222" s="27" t="s">
        <v>161</v>
      </c>
    </row>
    <row r="223" spans="1:12" ht="12.75" hidden="1" customHeight="1" x14ac:dyDescent="0.6">
      <c r="A223" s="383" t="s">
        <v>81</v>
      </c>
      <c r="B223" s="384" t="s">
        <v>82</v>
      </c>
      <c r="C223" s="386" t="s">
        <v>83</v>
      </c>
      <c r="D223" s="388" t="s">
        <v>84</v>
      </c>
      <c r="E223" s="389"/>
      <c r="F223" s="383" t="s">
        <v>85</v>
      </c>
      <c r="G223" s="390" t="s">
        <v>86</v>
      </c>
      <c r="H223" s="391"/>
      <c r="I223" s="29"/>
      <c r="J223" s="30"/>
    </row>
    <row r="224" spans="1:12" ht="31.5" hidden="1" x14ac:dyDescent="0.6">
      <c r="A224" s="383"/>
      <c r="B224" s="385"/>
      <c r="C224" s="387"/>
      <c r="D224" s="32" t="s">
        <v>90</v>
      </c>
      <c r="E224" s="32" t="s">
        <v>91</v>
      </c>
      <c r="F224" s="383"/>
      <c r="G224" s="33" t="s">
        <v>92</v>
      </c>
      <c r="H224" s="34" t="s">
        <v>93</v>
      </c>
      <c r="I224" s="35"/>
      <c r="J224" s="36"/>
    </row>
    <row r="225" spans="1:12" hidden="1" x14ac:dyDescent="0.6">
      <c r="A225" s="38">
        <v>1</v>
      </c>
      <c r="B225" s="38">
        <v>2</v>
      </c>
      <c r="C225" s="39"/>
      <c r="D225" s="38">
        <v>8</v>
      </c>
      <c r="E225" s="38">
        <v>9</v>
      </c>
      <c r="F225" s="38">
        <v>5</v>
      </c>
      <c r="G225" s="40">
        <v>10</v>
      </c>
      <c r="H225" s="38">
        <v>11</v>
      </c>
      <c r="I225" s="41"/>
      <c r="J225" s="42"/>
    </row>
    <row r="226" spans="1:12" ht="19.5" hidden="1" customHeight="1" x14ac:dyDescent="0.75">
      <c r="A226" s="43" t="s">
        <v>99</v>
      </c>
      <c r="B226" s="44" t="s">
        <v>100</v>
      </c>
      <c r="C226" s="93">
        <v>32031.940000000002</v>
      </c>
      <c r="D226" s="46">
        <f>[7]CAV!J9</f>
        <v>15377.788828999999</v>
      </c>
      <c r="E226" s="46">
        <f>[7]CAV!K9</f>
        <v>20418.810000000001</v>
      </c>
      <c r="F226" s="46">
        <f>[7]CAV!L9</f>
        <v>37166.699999999997</v>
      </c>
      <c r="G226" s="47">
        <f>F226/C226</f>
        <v>1.1603012493155267</v>
      </c>
      <c r="H226" s="48">
        <f>E226/D226</f>
        <v>1.3278118347869012</v>
      </c>
      <c r="I226" s="49"/>
      <c r="J226" s="50"/>
    </row>
    <row r="227" spans="1:12" ht="19.5" hidden="1" customHeight="1" x14ac:dyDescent="0.75">
      <c r="A227" s="43" t="s">
        <v>105</v>
      </c>
      <c r="B227" s="44" t="s">
        <v>100</v>
      </c>
      <c r="C227" s="93">
        <v>31687.390000000003</v>
      </c>
      <c r="D227" s="46">
        <f>[7]CAV!J10</f>
        <v>15377.788828999999</v>
      </c>
      <c r="E227" s="46">
        <f>[7]CAV!K10</f>
        <v>20330.95</v>
      </c>
      <c r="F227" s="46">
        <f>[7]CAV!L10</f>
        <v>37166.699999999997</v>
      </c>
      <c r="G227" s="47">
        <f t="shared" ref="G227:G236" si="30">F227/C227</f>
        <v>1.1729176811343565</v>
      </c>
      <c r="H227" s="48">
        <f t="shared" ref="H227:H236" si="31">E227/D227</f>
        <v>1.3220983995864963</v>
      </c>
      <c r="I227" s="49"/>
      <c r="J227" s="50"/>
    </row>
    <row r="228" spans="1:12" ht="19.5" hidden="1" customHeight="1" x14ac:dyDescent="0.75">
      <c r="A228" s="43" t="s">
        <v>107</v>
      </c>
      <c r="B228" s="44" t="s">
        <v>100</v>
      </c>
      <c r="C228" s="93">
        <v>2785.3300000000017</v>
      </c>
      <c r="D228" s="46">
        <f>[7]CAV!J35</f>
        <v>1496.8947648470421</v>
      </c>
      <c r="E228" s="46">
        <f>[7]CAV!K35</f>
        <v>1636.4900000000016</v>
      </c>
      <c r="F228" s="46">
        <f>[7]CAV!L35+500</f>
        <v>3388.5</v>
      </c>
      <c r="G228" s="47">
        <f t="shared" si="30"/>
        <v>1.2165524372336485</v>
      </c>
      <c r="H228" s="48">
        <f t="shared" si="31"/>
        <v>1.0932565457714216</v>
      </c>
      <c r="I228" s="49"/>
      <c r="J228" s="50"/>
    </row>
    <row r="229" spans="1:12" ht="19.5" hidden="1" customHeight="1" x14ac:dyDescent="0.75">
      <c r="A229" s="63" t="s">
        <v>108</v>
      </c>
      <c r="B229" s="44" t="s">
        <v>100</v>
      </c>
      <c r="C229" s="65">
        <f>I233</f>
        <v>1031.9647650000006</v>
      </c>
      <c r="D229" s="65">
        <f>J233</f>
        <v>554.59951037582914</v>
      </c>
      <c r="E229" s="65">
        <f>K233</f>
        <v>606.31954500000052</v>
      </c>
      <c r="F229" s="65">
        <f>L233</f>
        <v>1255.4392500000001</v>
      </c>
      <c r="G229" s="47">
        <f t="shared" si="30"/>
        <v>1.2165524372336485</v>
      </c>
      <c r="H229" s="48">
        <f t="shared" si="31"/>
        <v>1.0932565457714214</v>
      </c>
      <c r="I229" s="28">
        <f>C228*5%</f>
        <v>139.26650000000009</v>
      </c>
      <c r="J229" s="28">
        <f>D228*5%</f>
        <v>74.844738242352108</v>
      </c>
      <c r="K229" s="28">
        <f>E228*5%</f>
        <v>81.824500000000086</v>
      </c>
      <c r="L229" s="28">
        <f>F228*5%</f>
        <v>169.42500000000001</v>
      </c>
    </row>
    <row r="230" spans="1:12" ht="19.5" hidden="1" customHeight="1" x14ac:dyDescent="0.75">
      <c r="A230" s="43" t="s">
        <v>110</v>
      </c>
      <c r="B230" s="44" t="s">
        <v>100</v>
      </c>
      <c r="C230" s="93">
        <v>12973.530000000002</v>
      </c>
      <c r="D230" s="46">
        <f>[7]CAV!J5</f>
        <v>7178.6837360370428</v>
      </c>
      <c r="E230" s="46">
        <f>[7]CAV!K5</f>
        <v>7584.0100000000011</v>
      </c>
      <c r="F230" s="46">
        <f>[7]CAV!L5</f>
        <v>14879.381100000001</v>
      </c>
      <c r="G230" s="47">
        <f t="shared" si="30"/>
        <v>1.1469030479753775</v>
      </c>
      <c r="H230" s="48">
        <f t="shared" si="31"/>
        <v>1.0564624768086965</v>
      </c>
      <c r="I230" s="28">
        <f>C228-I229</f>
        <v>2646.0635000000016</v>
      </c>
      <c r="J230" s="28">
        <f>D228-J229</f>
        <v>1422.0500266046899</v>
      </c>
      <c r="K230" s="28">
        <f>E228-K229</f>
        <v>1554.6655000000014</v>
      </c>
      <c r="L230" s="28">
        <f>F228-L229</f>
        <v>3219.0749999999998</v>
      </c>
    </row>
    <row r="231" spans="1:12" ht="19.5" hidden="1" customHeight="1" x14ac:dyDescent="0.75">
      <c r="A231" s="43" t="s">
        <v>112</v>
      </c>
      <c r="B231" s="44" t="s">
        <v>113</v>
      </c>
      <c r="C231" s="93">
        <v>35446.803278688538</v>
      </c>
      <c r="D231" s="64">
        <f>D230/D234*1000</f>
        <v>34347.769071947572</v>
      </c>
      <c r="E231" s="64">
        <f>E230/E234*1000</f>
        <v>37731.39303482588</v>
      </c>
      <c r="F231" s="64">
        <f>F230/F234*1000</f>
        <v>71193.21100478468</v>
      </c>
      <c r="G231" s="47">
        <f t="shared" si="30"/>
        <v>2.0084522275549666</v>
      </c>
      <c r="H231" s="48">
        <f t="shared" si="31"/>
        <v>1.0985107345921274</v>
      </c>
      <c r="I231" s="28">
        <f>I230*35%</f>
        <v>926.12222500000053</v>
      </c>
      <c r="J231" s="28">
        <f>J230*35%</f>
        <v>497.71750931164144</v>
      </c>
      <c r="K231" s="28">
        <f>K230*35%</f>
        <v>544.13292500000045</v>
      </c>
      <c r="L231" s="28">
        <f>L230*35%</f>
        <v>1126.6762499999998</v>
      </c>
    </row>
    <row r="232" spans="1:12" ht="19.5" hidden="1" customHeight="1" x14ac:dyDescent="0.75">
      <c r="A232" s="43" t="s">
        <v>116</v>
      </c>
      <c r="B232" s="44" t="s">
        <v>100</v>
      </c>
      <c r="C232" s="93">
        <v>5451.03</v>
      </c>
      <c r="D232" s="46">
        <f>'[7]CAV B'!J30</f>
        <v>3266.38</v>
      </c>
      <c r="E232" s="46">
        <f>'[7]CAV B'!K30</f>
        <v>3178.18</v>
      </c>
      <c r="F232" s="46">
        <f>'[7]CAV B'!L30</f>
        <v>6475.3899999999994</v>
      </c>
      <c r="G232" s="47">
        <f t="shared" si="30"/>
        <v>1.1879204480621093</v>
      </c>
      <c r="H232" s="48">
        <f t="shared" si="31"/>
        <v>0.97299763040430065</v>
      </c>
      <c r="I232" s="28">
        <f>I230-I231</f>
        <v>1719.941275000001</v>
      </c>
      <c r="J232" s="28">
        <f>J230-J231</f>
        <v>924.33251729304857</v>
      </c>
      <c r="K232" s="28">
        <f>K230-K231</f>
        <v>1010.532575000001</v>
      </c>
      <c r="L232" s="28">
        <f>L230-L231</f>
        <v>2092.3987500000003</v>
      </c>
    </row>
    <row r="233" spans="1:12" ht="19.5" hidden="1" customHeight="1" x14ac:dyDescent="0.75">
      <c r="A233" s="43" t="s">
        <v>118</v>
      </c>
      <c r="B233" s="44" t="s">
        <v>100</v>
      </c>
      <c r="C233" s="93">
        <v>4616.3900000000003</v>
      </c>
      <c r="D233" s="46">
        <f>D232*88.5%</f>
        <v>2890.7463000000002</v>
      </c>
      <c r="E233" s="46">
        <f>E232*88.5%</f>
        <v>2812.6893</v>
      </c>
      <c r="F233" s="46">
        <f>F232*88.5%</f>
        <v>5730.7201499999992</v>
      </c>
      <c r="G233" s="47">
        <f t="shared" si="30"/>
        <v>1.241385617333024</v>
      </c>
      <c r="H233" s="48">
        <f t="shared" si="31"/>
        <v>0.97299763040430065</v>
      </c>
      <c r="I233" s="28">
        <f>I232*60%</f>
        <v>1031.9647650000006</v>
      </c>
      <c r="J233" s="28">
        <f>J232*60%</f>
        <v>554.59951037582914</v>
      </c>
      <c r="K233" s="28">
        <f>K232*60%</f>
        <v>606.31954500000052</v>
      </c>
      <c r="L233" s="28">
        <f>L232*60%</f>
        <v>1255.4392500000001</v>
      </c>
    </row>
    <row r="234" spans="1:12" ht="19.5" hidden="1" customHeight="1" x14ac:dyDescent="0.75">
      <c r="A234" s="43" t="s">
        <v>120</v>
      </c>
      <c r="B234" s="44" t="s">
        <v>121</v>
      </c>
      <c r="C234" s="94">
        <v>258</v>
      </c>
      <c r="D234" s="72">
        <f>[7]CAV!J56</f>
        <v>209</v>
      </c>
      <c r="E234" s="72">
        <f>[7]CAV!K56</f>
        <v>201</v>
      </c>
      <c r="F234" s="72">
        <v>209</v>
      </c>
      <c r="G234" s="47">
        <f t="shared" si="30"/>
        <v>0.81007751937984496</v>
      </c>
      <c r="H234" s="48">
        <f t="shared" si="31"/>
        <v>0.96172248803827753</v>
      </c>
      <c r="I234" s="49"/>
      <c r="J234" s="50"/>
    </row>
    <row r="235" spans="1:12" ht="19.5" hidden="1" customHeight="1" x14ac:dyDescent="0.75">
      <c r="A235" s="43" t="s">
        <v>123</v>
      </c>
      <c r="B235" s="44" t="s">
        <v>124</v>
      </c>
      <c r="C235" s="93">
        <f>C232/C234/12*1000</f>
        <v>1760.6686046511629</v>
      </c>
      <c r="D235" s="64">
        <f>D232/D234*1000</f>
        <v>15628.612440191388</v>
      </c>
      <c r="E235" s="64">
        <f>E232/E234*1000</f>
        <v>15811.840796019898</v>
      </c>
      <c r="F235" s="64">
        <f>F232/F234/12*1000</f>
        <v>2581.893939393939</v>
      </c>
      <c r="G235" s="47">
        <f t="shared" si="30"/>
        <v>1.4664281129187757</v>
      </c>
      <c r="H235" s="48">
        <f t="shared" si="31"/>
        <v>1.011723904251238</v>
      </c>
      <c r="I235" s="49"/>
      <c r="J235" s="50"/>
    </row>
    <row r="236" spans="1:12" ht="19.5" hidden="1" customHeight="1" x14ac:dyDescent="0.75">
      <c r="A236" s="43" t="s">
        <v>127</v>
      </c>
      <c r="B236" s="44" t="s">
        <v>124</v>
      </c>
      <c r="C236" s="93">
        <f>C226*1000/C234/12</f>
        <v>10346.2338501292</v>
      </c>
      <c r="D236" s="77">
        <f>D226*1000/D234</f>
        <v>73577.936980861239</v>
      </c>
      <c r="E236" s="77">
        <f>E226*1000/E234</f>
        <v>101586.11940298507</v>
      </c>
      <c r="F236" s="77">
        <f>F226*1000/F234/12</f>
        <v>14819.258373205741</v>
      </c>
      <c r="G236" s="47">
        <f t="shared" si="30"/>
        <v>1.4323335996335211</v>
      </c>
      <c r="H236" s="48">
        <f t="shared" si="31"/>
        <v>1.3806600670172255</v>
      </c>
      <c r="I236" s="49"/>
      <c r="J236" s="50"/>
    </row>
    <row r="237" spans="1:12" ht="19.5" hidden="1" customHeight="1" x14ac:dyDescent="0.75">
      <c r="A237" s="79" t="s">
        <v>128</v>
      </c>
      <c r="B237" s="80" t="s">
        <v>129</v>
      </c>
      <c r="C237" s="95"/>
      <c r="D237" s="81"/>
      <c r="E237" s="82"/>
      <c r="F237" s="81"/>
      <c r="G237" s="83">
        <f>G235/G231</f>
        <v>0.73012845055516418</v>
      </c>
      <c r="H237" s="83">
        <f>H235/H231</f>
        <v>0.92099591965014982</v>
      </c>
      <c r="I237" s="84"/>
      <c r="J237" s="85"/>
    </row>
    <row r="238" spans="1:12" ht="19.5" hidden="1" customHeight="1" x14ac:dyDescent="0.75">
      <c r="A238" s="79" t="s">
        <v>132</v>
      </c>
      <c r="B238" s="80" t="s">
        <v>129</v>
      </c>
      <c r="C238" s="95"/>
      <c r="D238" s="81"/>
      <c r="E238" s="82"/>
      <c r="F238" s="81"/>
      <c r="G238" s="83">
        <f>G232/G229</f>
        <v>0.97646464854680148</v>
      </c>
      <c r="H238" s="83">
        <f>H232/H229</f>
        <v>0.88999936398069868</v>
      </c>
      <c r="I238" s="84"/>
      <c r="J238" s="85"/>
    </row>
    <row r="239" spans="1:12" ht="19.5" hidden="1" customHeight="1" x14ac:dyDescent="0.75">
      <c r="A239" s="79" t="s">
        <v>133</v>
      </c>
      <c r="B239" s="80" t="s">
        <v>129</v>
      </c>
      <c r="C239" s="99">
        <f>C232/C229</f>
        <v>5.2821861606873721</v>
      </c>
      <c r="D239" s="86">
        <f>D232/D229</f>
        <v>5.8896193359177502</v>
      </c>
      <c r="E239" s="86">
        <f>E232/E229</f>
        <v>5.2417574630552233</v>
      </c>
      <c r="F239" s="86">
        <f>F232/F229</f>
        <v>5.157868052954373</v>
      </c>
      <c r="G239" s="87"/>
      <c r="H239" s="84"/>
      <c r="I239" s="84"/>
      <c r="J239" s="85"/>
    </row>
    <row r="240" spans="1:12" ht="19.5" hidden="1" customHeight="1" x14ac:dyDescent="0.75">
      <c r="A240" s="79" t="s">
        <v>135</v>
      </c>
      <c r="B240" s="80" t="s">
        <v>129</v>
      </c>
      <c r="C240" s="99">
        <f>C232/C230</f>
        <v>0.42016552164291437</v>
      </c>
      <c r="D240" s="86">
        <f>D232/D230</f>
        <v>0.45501099088719421</v>
      </c>
      <c r="E240" s="86">
        <f>E232/E230</f>
        <v>0.41906326600307742</v>
      </c>
      <c r="F240" s="86">
        <f>F232/F230</f>
        <v>0.43519215997498706</v>
      </c>
      <c r="G240" s="87"/>
      <c r="H240" s="84"/>
      <c r="I240" s="84"/>
      <c r="J240" s="85"/>
    </row>
    <row r="241" spans="1:12" ht="19.5" hidden="1" customHeight="1" x14ac:dyDescent="0.75">
      <c r="A241" s="79" t="s">
        <v>138</v>
      </c>
      <c r="B241" s="80" t="s">
        <v>100</v>
      </c>
      <c r="C241" s="88"/>
      <c r="D241" s="89"/>
      <c r="E241" s="89"/>
      <c r="F241" s="89"/>
      <c r="G241" s="90"/>
      <c r="H241" s="91"/>
      <c r="I241" s="91"/>
      <c r="J241" s="85"/>
    </row>
    <row r="242" spans="1:12" ht="19.5" hidden="1" customHeight="1" x14ac:dyDescent="0.75">
      <c r="A242" s="79" t="s">
        <v>140</v>
      </c>
      <c r="B242" s="80" t="s">
        <v>100</v>
      </c>
      <c r="C242" s="88"/>
      <c r="D242" s="89"/>
      <c r="E242" s="89"/>
      <c r="F242" s="89"/>
      <c r="G242" s="90"/>
      <c r="H242" s="91"/>
      <c r="I242" s="91"/>
      <c r="J242" s="85"/>
    </row>
    <row r="243" spans="1:12" hidden="1" x14ac:dyDescent="0.6"/>
    <row r="244" spans="1:12" hidden="1" x14ac:dyDescent="0.6">
      <c r="A244" s="27" t="s">
        <v>162</v>
      </c>
    </row>
    <row r="245" spans="1:12" ht="12.75" hidden="1" customHeight="1" x14ac:dyDescent="0.6">
      <c r="A245" s="383" t="s">
        <v>81</v>
      </c>
      <c r="B245" s="384" t="s">
        <v>82</v>
      </c>
      <c r="C245" s="386" t="s">
        <v>83</v>
      </c>
      <c r="D245" s="388" t="s">
        <v>84</v>
      </c>
      <c r="E245" s="389"/>
      <c r="F245" s="383" t="s">
        <v>85</v>
      </c>
      <c r="G245" s="390" t="s">
        <v>86</v>
      </c>
      <c r="H245" s="391"/>
      <c r="I245" s="29"/>
      <c r="J245" s="30"/>
    </row>
    <row r="246" spans="1:12" ht="31.5" hidden="1" x14ac:dyDescent="0.6">
      <c r="A246" s="383"/>
      <c r="B246" s="385"/>
      <c r="C246" s="387"/>
      <c r="D246" s="32" t="s">
        <v>90</v>
      </c>
      <c r="E246" s="32" t="s">
        <v>91</v>
      </c>
      <c r="F246" s="383"/>
      <c r="G246" s="33" t="s">
        <v>92</v>
      </c>
      <c r="H246" s="34" t="s">
        <v>93</v>
      </c>
      <c r="I246" s="35"/>
      <c r="J246" s="36"/>
    </row>
    <row r="247" spans="1:12" hidden="1" x14ac:dyDescent="0.6">
      <c r="A247" s="38">
        <v>1</v>
      </c>
      <c r="B247" s="38">
        <v>2</v>
      </c>
      <c r="C247" s="39"/>
      <c r="D247" s="38">
        <v>8</v>
      </c>
      <c r="E247" s="38">
        <v>9</v>
      </c>
      <c r="F247" s="38">
        <v>5</v>
      </c>
      <c r="G247" s="40">
        <v>10</v>
      </c>
      <c r="H247" s="38">
        <v>11</v>
      </c>
      <c r="I247" s="41"/>
      <c r="J247" s="42"/>
    </row>
    <row r="248" spans="1:12" ht="19.5" hidden="1" customHeight="1" x14ac:dyDescent="0.75">
      <c r="A248" s="43" t="s">
        <v>99</v>
      </c>
      <c r="B248" s="44" t="s">
        <v>100</v>
      </c>
      <c r="C248" s="93">
        <v>188656.45999999993</v>
      </c>
      <c r="D248" s="46">
        <f>[7]CMG!J9</f>
        <v>75397.766124150163</v>
      </c>
      <c r="E248" s="46">
        <f>[7]CMG!K9</f>
        <v>113972.73</v>
      </c>
      <c r="F248" s="46">
        <f>[7]CMG!L9</f>
        <v>167861.57891138864</v>
      </c>
      <c r="G248" s="47">
        <f>F248/C248</f>
        <v>0.88977381909630182</v>
      </c>
      <c r="H248" s="48">
        <f>E248/D248</f>
        <v>1.5116194531855518</v>
      </c>
      <c r="I248" s="49"/>
      <c r="J248" s="50"/>
    </row>
    <row r="249" spans="1:12" ht="19.5" hidden="1" customHeight="1" x14ac:dyDescent="0.75">
      <c r="A249" s="43" t="s">
        <v>105</v>
      </c>
      <c r="B249" s="44" t="s">
        <v>100</v>
      </c>
      <c r="C249" s="93">
        <v>188131.90999999995</v>
      </c>
      <c r="D249" s="46">
        <f>[7]CMG!J10</f>
        <v>75397.766124150163</v>
      </c>
      <c r="E249" s="46">
        <f>[7]CMG!K10</f>
        <v>113762.34999999999</v>
      </c>
      <c r="F249" s="46">
        <f>[7]CMG!L10</f>
        <v>167861.57891138864</v>
      </c>
      <c r="G249" s="47">
        <f t="shared" ref="G249:G258" si="32">F249/C249</f>
        <v>0.8922546893367993</v>
      </c>
      <c r="H249" s="48">
        <f t="shared" ref="H249:H258" si="33">E249/D249</f>
        <v>1.5088291848418771</v>
      </c>
      <c r="I249" s="49"/>
      <c r="J249" s="50"/>
    </row>
    <row r="250" spans="1:12" ht="19.5" hidden="1" customHeight="1" x14ac:dyDescent="0.75">
      <c r="A250" s="43" t="s">
        <v>107</v>
      </c>
      <c r="B250" s="44" t="s">
        <v>100</v>
      </c>
      <c r="C250" s="93">
        <v>16889.279999999941</v>
      </c>
      <c r="D250" s="46">
        <f>[7]CMG!J35</f>
        <v>4000.7990463086608</v>
      </c>
      <c r="E250" s="46">
        <f>[7]CMG!K35</f>
        <v>11395.169999999998</v>
      </c>
      <c r="F250" s="46">
        <f>[7]CMG!L35</f>
        <v>18735.978911388636</v>
      </c>
      <c r="G250" s="47">
        <f t="shared" si="32"/>
        <v>1.1093414823715815</v>
      </c>
      <c r="H250" s="48">
        <f t="shared" si="33"/>
        <v>2.8482235343746538</v>
      </c>
      <c r="I250" s="49"/>
      <c r="J250" s="50"/>
    </row>
    <row r="251" spans="1:12" ht="19.5" hidden="1" customHeight="1" x14ac:dyDescent="0.75">
      <c r="A251" s="63" t="s">
        <v>108</v>
      </c>
      <c r="B251" s="44" t="s">
        <v>100</v>
      </c>
      <c r="C251" s="65">
        <f>I255</f>
        <v>6257.4782399999795</v>
      </c>
      <c r="D251" s="65">
        <f>J255</f>
        <v>1482.2960466573588</v>
      </c>
      <c r="E251" s="65">
        <f>K255</f>
        <v>4221.9104849999994</v>
      </c>
      <c r="F251" s="65">
        <f>L255</f>
        <v>6941.6801866694886</v>
      </c>
      <c r="G251" s="47">
        <f t="shared" si="32"/>
        <v>1.109341482371581</v>
      </c>
      <c r="H251" s="48">
        <f t="shared" si="33"/>
        <v>2.8482235343746538</v>
      </c>
      <c r="I251" s="28">
        <f>C250*5%</f>
        <v>844.4639999999971</v>
      </c>
      <c r="J251" s="28">
        <f>D250*5%</f>
        <v>200.03995231543306</v>
      </c>
      <c r="K251" s="28">
        <f>E250*5%</f>
        <v>569.75849999999991</v>
      </c>
      <c r="L251" s="28">
        <f>F250*5%</f>
        <v>936.79894556943191</v>
      </c>
    </row>
    <row r="252" spans="1:12" ht="19.5" hidden="1" customHeight="1" x14ac:dyDescent="0.75">
      <c r="A252" s="43" t="s">
        <v>110</v>
      </c>
      <c r="B252" s="44" t="s">
        <v>100</v>
      </c>
      <c r="C252" s="93">
        <v>50048.459999999948</v>
      </c>
      <c r="D252" s="46">
        <f>[7]CMG!J5</f>
        <v>22808.768819965178</v>
      </c>
      <c r="E252" s="46">
        <f>[7]CMG!K5</f>
        <v>29644.969999999998</v>
      </c>
      <c r="F252" s="46">
        <f>[7]CMG!L5</f>
        <v>63364.487291641388</v>
      </c>
      <c r="G252" s="47">
        <f t="shared" si="32"/>
        <v>1.2660626778854225</v>
      </c>
      <c r="H252" s="48">
        <f t="shared" si="33"/>
        <v>1.2997181142916796</v>
      </c>
      <c r="I252" s="28">
        <f>C250-I251</f>
        <v>16044.815999999944</v>
      </c>
      <c r="J252" s="28">
        <f>D250-J251</f>
        <v>3800.7590939932279</v>
      </c>
      <c r="K252" s="28">
        <f>E250-K251</f>
        <v>10825.411499999998</v>
      </c>
      <c r="L252" s="28">
        <f>F250-L251</f>
        <v>17799.179965819203</v>
      </c>
    </row>
    <row r="253" spans="1:12" ht="19.5" hidden="1" customHeight="1" x14ac:dyDescent="0.75">
      <c r="A253" s="43" t="s">
        <v>112</v>
      </c>
      <c r="B253" s="44" t="s">
        <v>113</v>
      </c>
      <c r="C253" s="93">
        <v>193986.27906976725</v>
      </c>
      <c r="D253" s="64">
        <f>D252/D256*1000</f>
        <v>62489.77758894569</v>
      </c>
      <c r="E253" s="64">
        <f>E252/E256*1000</f>
        <v>82807.178770949715</v>
      </c>
      <c r="F253" s="64">
        <f>F252/F256*1000</f>
        <v>173601.33504559283</v>
      </c>
      <c r="G253" s="47">
        <f t="shared" si="32"/>
        <v>0.89491553669709312</v>
      </c>
      <c r="H253" s="48">
        <f t="shared" si="33"/>
        <v>1.3251315969733606</v>
      </c>
      <c r="I253" s="28">
        <f>I252*35%</f>
        <v>5615.6855999999798</v>
      </c>
      <c r="J253" s="28">
        <f>J252*35%</f>
        <v>1330.2656828976296</v>
      </c>
      <c r="K253" s="28">
        <f>K252*35%</f>
        <v>3788.8940249999991</v>
      </c>
      <c r="L253" s="28">
        <f>L252*35%</f>
        <v>6229.7129880367211</v>
      </c>
    </row>
    <row r="254" spans="1:12" ht="19.5" hidden="1" customHeight="1" x14ac:dyDescent="0.75">
      <c r="A254" s="43" t="s">
        <v>116</v>
      </c>
      <c r="B254" s="44" t="s">
        <v>100</v>
      </c>
      <c r="C254" s="93">
        <v>9939.9599999999991</v>
      </c>
      <c r="D254" s="46">
        <f>'[7]CMG B'!J30</f>
        <v>8578.4500000000007</v>
      </c>
      <c r="E254" s="46">
        <f>'[7]CMG B'!K30</f>
        <v>4258.4799999999996</v>
      </c>
      <c r="F254" s="46">
        <f>'[7]CMG B'!L30-9000</f>
        <v>12495.130000000001</v>
      </c>
      <c r="G254" s="47">
        <f t="shared" si="32"/>
        <v>1.257060390585073</v>
      </c>
      <c r="H254" s="48">
        <f t="shared" si="33"/>
        <v>0.49641601921092959</v>
      </c>
      <c r="I254" s="28">
        <f>I252-I253</f>
        <v>10429.130399999965</v>
      </c>
      <c r="J254" s="28">
        <f>J252-J253</f>
        <v>2470.4934110955983</v>
      </c>
      <c r="K254" s="28">
        <f>K252-K253</f>
        <v>7036.5174749999987</v>
      </c>
      <c r="L254" s="28">
        <f>L252-L253</f>
        <v>11569.466977782482</v>
      </c>
    </row>
    <row r="255" spans="1:12" ht="19.5" hidden="1" customHeight="1" x14ac:dyDescent="0.75">
      <c r="A255" s="43" t="s">
        <v>118</v>
      </c>
      <c r="B255" s="44" t="s">
        <v>100</v>
      </c>
      <c r="C255" s="93">
        <v>8979.2199999999993</v>
      </c>
      <c r="D255" s="46">
        <f>D254*88.5%</f>
        <v>7591.9282500000008</v>
      </c>
      <c r="E255" s="46">
        <f>E254*88.5%</f>
        <v>3768.7547999999997</v>
      </c>
      <c r="F255" s="46">
        <f>F254*88.5%</f>
        <v>11058.190050000001</v>
      </c>
      <c r="G255" s="47">
        <f t="shared" si="32"/>
        <v>1.2315312521577599</v>
      </c>
      <c r="H255" s="48">
        <f t="shared" si="33"/>
        <v>0.49641601921092959</v>
      </c>
      <c r="I255" s="28">
        <f>I254*60%</f>
        <v>6257.4782399999795</v>
      </c>
      <c r="J255" s="28">
        <f>J254*60%</f>
        <v>1482.2960466573588</v>
      </c>
      <c r="K255" s="28">
        <f>K254*60%</f>
        <v>4221.9104849999994</v>
      </c>
      <c r="L255" s="28">
        <f>L254*60%</f>
        <v>6941.6801866694886</v>
      </c>
    </row>
    <row r="256" spans="1:12" ht="19.5" hidden="1" customHeight="1" x14ac:dyDescent="0.75">
      <c r="A256" s="43" t="s">
        <v>120</v>
      </c>
      <c r="B256" s="44" t="s">
        <v>121</v>
      </c>
      <c r="C256" s="94">
        <v>381</v>
      </c>
      <c r="D256" s="72">
        <f>[7]CMG!J56</f>
        <v>365</v>
      </c>
      <c r="E256" s="72">
        <f>[7]CMG!K56</f>
        <v>358</v>
      </c>
      <c r="F256" s="72">
        <v>365</v>
      </c>
      <c r="G256" s="47">
        <f t="shared" si="32"/>
        <v>0.95800524934383202</v>
      </c>
      <c r="H256" s="48">
        <f t="shared" si="33"/>
        <v>0.98082191780821915</v>
      </c>
      <c r="I256" s="49"/>
      <c r="J256" s="50"/>
    </row>
    <row r="257" spans="1:10" ht="19.5" hidden="1" customHeight="1" x14ac:dyDescent="0.75">
      <c r="A257" s="43" t="s">
        <v>123</v>
      </c>
      <c r="B257" s="44" t="s">
        <v>124</v>
      </c>
      <c r="C257" s="93">
        <f>C254/C256/12*1000</f>
        <v>2174.0944881889759</v>
      </c>
      <c r="D257" s="64">
        <f>D254/D256*1000</f>
        <v>23502.60273972603</v>
      </c>
      <c r="E257" s="64">
        <f>E254/E256*1000</f>
        <v>11895.195530726254</v>
      </c>
      <c r="F257" s="64">
        <f>F254/F256/12*1000</f>
        <v>2852.7694063926942</v>
      </c>
      <c r="G257" s="47">
        <f t="shared" si="32"/>
        <v>1.3121644077066106</v>
      </c>
      <c r="H257" s="48">
        <f t="shared" si="33"/>
        <v>0.50612247768712093</v>
      </c>
      <c r="I257" s="49"/>
      <c r="J257" s="50"/>
    </row>
    <row r="258" spans="1:10" ht="19.5" hidden="1" customHeight="1" x14ac:dyDescent="0.75">
      <c r="A258" s="43" t="s">
        <v>127</v>
      </c>
      <c r="B258" s="44" t="s">
        <v>124</v>
      </c>
      <c r="C258" s="93">
        <f>C248*1000/C256/12</f>
        <v>41263.44269466315</v>
      </c>
      <c r="D258" s="77">
        <f>D248*1000/D256</f>
        <v>206569.22225794563</v>
      </c>
      <c r="E258" s="77">
        <f>E248*1000/E256</f>
        <v>318359.5810055866</v>
      </c>
      <c r="F258" s="77">
        <f>F248*1000/F256/12</f>
        <v>38324.561395294208</v>
      </c>
      <c r="G258" s="47">
        <f t="shared" si="32"/>
        <v>0.92877760294709855</v>
      </c>
      <c r="H258" s="48">
        <f t="shared" si="33"/>
        <v>1.5411762581361077</v>
      </c>
      <c r="I258" s="49"/>
      <c r="J258" s="50"/>
    </row>
    <row r="259" spans="1:10" ht="19.5" hidden="1" customHeight="1" x14ac:dyDescent="0.75">
      <c r="A259" s="79" t="s">
        <v>128</v>
      </c>
      <c r="B259" s="80" t="s">
        <v>129</v>
      </c>
      <c r="C259" s="95"/>
      <c r="D259" s="81"/>
      <c r="E259" s="82"/>
      <c r="F259" s="81"/>
      <c r="G259" s="83">
        <f>G257/G253</f>
        <v>1.4662438564308287</v>
      </c>
      <c r="H259" s="83">
        <f>H257/H253</f>
        <v>0.38194129461792287</v>
      </c>
      <c r="I259" s="84"/>
      <c r="J259" s="85"/>
    </row>
    <row r="260" spans="1:10" ht="19.5" hidden="1" customHeight="1" x14ac:dyDescent="0.75">
      <c r="A260" s="79" t="s">
        <v>132</v>
      </c>
      <c r="B260" s="80" t="s">
        <v>129</v>
      </c>
      <c r="C260" s="95"/>
      <c r="D260" s="81"/>
      <c r="E260" s="82"/>
      <c r="F260" s="81"/>
      <c r="G260" s="83">
        <f>G254/G251</f>
        <v>1.1331590953379787</v>
      </c>
      <c r="H260" s="83">
        <f>H254/H251</f>
        <v>0.17428969784842432</v>
      </c>
      <c r="I260" s="84"/>
      <c r="J260" s="85"/>
    </row>
    <row r="261" spans="1:10" ht="19.5" hidden="1" customHeight="1" x14ac:dyDescent="0.75">
      <c r="A261" s="79" t="s">
        <v>133</v>
      </c>
      <c r="B261" s="80" t="s">
        <v>129</v>
      </c>
      <c r="C261" s="99">
        <f>C254/C251</f>
        <v>1.5884929389702571</v>
      </c>
      <c r="D261" s="86">
        <f>D254/D251</f>
        <v>5.7872717257424879</v>
      </c>
      <c r="E261" s="86">
        <f>E254/E251</f>
        <v>1.0086618404463874</v>
      </c>
      <c r="F261" s="86">
        <f>F254/F251</f>
        <v>1.8000152216743037</v>
      </c>
      <c r="G261" s="87"/>
      <c r="H261" s="84"/>
      <c r="I261" s="84"/>
      <c r="J261" s="85"/>
    </row>
    <row r="262" spans="1:10" ht="19.5" hidden="1" customHeight="1" x14ac:dyDescent="0.75">
      <c r="A262" s="79" t="s">
        <v>135</v>
      </c>
      <c r="B262" s="80" t="s">
        <v>129</v>
      </c>
      <c r="C262" s="99">
        <f>C254/C252</f>
        <v>0.19860671037630348</v>
      </c>
      <c r="D262" s="86">
        <f>D254/D252</f>
        <v>0.37610315873301475</v>
      </c>
      <c r="E262" s="86">
        <f>E254/E252</f>
        <v>0.14364932735637784</v>
      </c>
      <c r="F262" s="86">
        <f>F254/F252</f>
        <v>0.19719452542068108</v>
      </c>
      <c r="G262" s="87"/>
      <c r="H262" s="84"/>
      <c r="I262" s="84"/>
      <c r="J262" s="85"/>
    </row>
    <row r="263" spans="1:10" ht="19.5" hidden="1" customHeight="1" x14ac:dyDescent="0.75">
      <c r="A263" s="79" t="s">
        <v>138</v>
      </c>
      <c r="B263" s="80" t="s">
        <v>100</v>
      </c>
      <c r="C263" s="88"/>
      <c r="D263" s="89"/>
      <c r="E263" s="89"/>
      <c r="F263" s="89"/>
      <c r="G263" s="90"/>
      <c r="H263" s="91"/>
      <c r="I263" s="91"/>
      <c r="J263" s="85"/>
    </row>
    <row r="264" spans="1:10" ht="19.5" hidden="1" customHeight="1" x14ac:dyDescent="0.75">
      <c r="A264" s="79" t="s">
        <v>140</v>
      </c>
      <c r="B264" s="80" t="s">
        <v>100</v>
      </c>
      <c r="C264" s="88"/>
      <c r="D264" s="89"/>
      <c r="E264" s="89"/>
      <c r="F264" s="89"/>
      <c r="G264" s="90"/>
      <c r="H264" s="91"/>
      <c r="I264" s="91"/>
      <c r="J264" s="85"/>
    </row>
    <row r="265" spans="1:10" hidden="1" x14ac:dyDescent="0.6"/>
    <row r="266" spans="1:10" hidden="1" x14ac:dyDescent="0.6">
      <c r="A266" s="27" t="s">
        <v>163</v>
      </c>
    </row>
    <row r="267" spans="1:10" ht="12.75" hidden="1" customHeight="1" x14ac:dyDescent="0.6">
      <c r="A267" s="383" t="s">
        <v>81</v>
      </c>
      <c r="B267" s="384" t="s">
        <v>82</v>
      </c>
      <c r="C267" s="386" t="s">
        <v>83</v>
      </c>
      <c r="D267" s="388" t="s">
        <v>84</v>
      </c>
      <c r="E267" s="389"/>
      <c r="F267" s="383" t="s">
        <v>85</v>
      </c>
      <c r="G267" s="390" t="s">
        <v>86</v>
      </c>
      <c r="H267" s="391"/>
      <c r="I267" s="29"/>
      <c r="J267" s="30"/>
    </row>
    <row r="268" spans="1:10" ht="31.5" hidden="1" x14ac:dyDescent="0.6">
      <c r="A268" s="383"/>
      <c r="B268" s="385"/>
      <c r="C268" s="387"/>
      <c r="D268" s="32" t="s">
        <v>90</v>
      </c>
      <c r="E268" s="32" t="s">
        <v>91</v>
      </c>
      <c r="F268" s="383"/>
      <c r="G268" s="33" t="s">
        <v>92</v>
      </c>
      <c r="H268" s="34" t="s">
        <v>93</v>
      </c>
      <c r="I268" s="35"/>
      <c r="J268" s="36"/>
    </row>
    <row r="269" spans="1:10" hidden="1" x14ac:dyDescent="0.6">
      <c r="A269" s="38">
        <v>1</v>
      </c>
      <c r="B269" s="38">
        <v>2</v>
      </c>
      <c r="C269" s="39"/>
      <c r="D269" s="38">
        <v>8</v>
      </c>
      <c r="E269" s="38">
        <v>9</v>
      </c>
      <c r="F269" s="38">
        <v>5</v>
      </c>
      <c r="G269" s="40">
        <v>10</v>
      </c>
      <c r="H269" s="38">
        <v>11</v>
      </c>
      <c r="I269" s="41"/>
      <c r="J269" s="42"/>
    </row>
    <row r="270" spans="1:10" ht="19.5" hidden="1" customHeight="1" x14ac:dyDescent="0.75">
      <c r="A270" s="43" t="s">
        <v>99</v>
      </c>
      <c r="B270" s="44" t="s">
        <v>100</v>
      </c>
      <c r="C270" s="93">
        <v>42951.299999999996</v>
      </c>
      <c r="D270" s="46">
        <f>[7]LT!J9</f>
        <v>23640.3809</v>
      </c>
      <c r="E270" s="46">
        <f>[7]LT!K9</f>
        <v>22884.53</v>
      </c>
      <c r="F270" s="46">
        <f>[7]LT!L9</f>
        <v>48248.100000000006</v>
      </c>
      <c r="G270" s="47">
        <f>F270/C270</f>
        <v>1.12332106362322</v>
      </c>
      <c r="H270" s="48">
        <f>E270/D270</f>
        <v>0.96802712683872194</v>
      </c>
      <c r="I270" s="49"/>
      <c r="J270" s="50"/>
    </row>
    <row r="271" spans="1:10" ht="19.5" hidden="1" customHeight="1" x14ac:dyDescent="0.75">
      <c r="A271" s="43" t="s">
        <v>105</v>
      </c>
      <c r="B271" s="44" t="s">
        <v>100</v>
      </c>
      <c r="C271" s="93">
        <v>42572.63</v>
      </c>
      <c r="D271" s="46">
        <f>[7]LT!J10</f>
        <v>23640.3809</v>
      </c>
      <c r="E271" s="46">
        <f>[7]LT!K10</f>
        <v>22564.32</v>
      </c>
      <c r="F271" s="46">
        <f>[7]LT!L10</f>
        <v>48248.100000000006</v>
      </c>
      <c r="G271" s="47">
        <f t="shared" ref="G271:G280" si="34">F271/C271</f>
        <v>1.1333126471162343</v>
      </c>
      <c r="H271" s="48">
        <f t="shared" ref="H271:H280" si="35">E271/D271</f>
        <v>0.95448208281618674</v>
      </c>
      <c r="I271" s="49"/>
      <c r="J271" s="50"/>
    </row>
    <row r="272" spans="1:10" ht="19.5" hidden="1" customHeight="1" x14ac:dyDescent="0.75">
      <c r="A272" s="43" t="s">
        <v>107</v>
      </c>
      <c r="B272" s="44" t="s">
        <v>100</v>
      </c>
      <c r="C272" s="93">
        <v>3181.9199999999983</v>
      </c>
      <c r="D272" s="46">
        <f>[7]LT!J35</f>
        <v>1679.2116902526141</v>
      </c>
      <c r="E272" s="46">
        <f>[7]LT!K35</f>
        <v>385.04999999999927</v>
      </c>
      <c r="F272" s="46">
        <f>[7]LT!L35+1000</f>
        <v>4054.4400000000096</v>
      </c>
      <c r="G272" s="47">
        <f t="shared" si="34"/>
        <v>1.2742117966510824</v>
      </c>
      <c r="H272" s="48">
        <f t="shared" si="35"/>
        <v>0.22930402535613234</v>
      </c>
      <c r="I272" s="49"/>
      <c r="J272" s="50"/>
    </row>
    <row r="273" spans="1:12" ht="19.5" hidden="1" customHeight="1" x14ac:dyDescent="0.75">
      <c r="A273" s="63" t="s">
        <v>108</v>
      </c>
      <c r="B273" s="44" t="s">
        <v>100</v>
      </c>
      <c r="C273" s="65">
        <f>I277</f>
        <v>1178.9013599999994</v>
      </c>
      <c r="D273" s="65">
        <f>J277</f>
        <v>622.14793123859351</v>
      </c>
      <c r="E273" s="65">
        <f>K277</f>
        <v>142.66102499999974</v>
      </c>
      <c r="F273" s="65">
        <f>L277</f>
        <v>1502.1700200000034</v>
      </c>
      <c r="G273" s="47">
        <f t="shared" si="34"/>
        <v>1.2742117966510822</v>
      </c>
      <c r="H273" s="48">
        <f t="shared" si="35"/>
        <v>0.22930402535613237</v>
      </c>
      <c r="I273" s="28">
        <f>C272*5%</f>
        <v>159.09599999999992</v>
      </c>
      <c r="J273" s="28">
        <f>D272*5%</f>
        <v>83.960584512630703</v>
      </c>
      <c r="K273" s="28">
        <f>E272*5%</f>
        <v>19.252499999999966</v>
      </c>
      <c r="L273" s="28">
        <f>F272*5%</f>
        <v>202.72200000000049</v>
      </c>
    </row>
    <row r="274" spans="1:12" ht="19.5" hidden="1" customHeight="1" x14ac:dyDescent="0.75">
      <c r="A274" s="43" t="s">
        <v>110</v>
      </c>
      <c r="B274" s="44" t="s">
        <v>100</v>
      </c>
      <c r="C274" s="93">
        <v>16873.73</v>
      </c>
      <c r="D274" s="46">
        <f>[7]LT!J5</f>
        <v>11135.307589252614</v>
      </c>
      <c r="E274" s="46">
        <f>[7]LT!K5</f>
        <v>7572.36</v>
      </c>
      <c r="F274" s="46">
        <f>[7]LT!L5</f>
        <v>22138.555660000013</v>
      </c>
      <c r="G274" s="47">
        <f t="shared" si="34"/>
        <v>1.3120131506193362</v>
      </c>
      <c r="H274" s="48">
        <f t="shared" si="35"/>
        <v>0.68003150692564263</v>
      </c>
      <c r="I274" s="28">
        <f>C272-I273</f>
        <v>3022.8239999999983</v>
      </c>
      <c r="J274" s="28">
        <f>D272-J273</f>
        <v>1595.2511057399834</v>
      </c>
      <c r="K274" s="28">
        <f>E272-K273</f>
        <v>365.79749999999933</v>
      </c>
      <c r="L274" s="28">
        <f>F272-L273</f>
        <v>3851.7180000000089</v>
      </c>
    </row>
    <row r="275" spans="1:12" ht="19.5" hidden="1" customHeight="1" x14ac:dyDescent="0.75">
      <c r="A275" s="43" t="s">
        <v>112</v>
      </c>
      <c r="B275" s="44" t="s">
        <v>113</v>
      </c>
      <c r="C275" s="93">
        <v>74333.612334801757</v>
      </c>
      <c r="D275" s="64">
        <f>D274/D278*1000</f>
        <v>41241.879960194863</v>
      </c>
      <c r="E275" s="64">
        <f>E274/E278*1000</f>
        <v>33358.414096916298</v>
      </c>
      <c r="F275" s="64">
        <f>F274/F278*1000</f>
        <v>81994.650592592632</v>
      </c>
      <c r="G275" s="47">
        <f t="shared" si="34"/>
        <v>1.1030629081132939</v>
      </c>
      <c r="H275" s="48">
        <f t="shared" si="35"/>
        <v>0.80884804788512565</v>
      </c>
      <c r="I275" s="28">
        <f>I274*35%</f>
        <v>1057.9883999999993</v>
      </c>
      <c r="J275" s="28">
        <f>J274*35%</f>
        <v>558.33788700899413</v>
      </c>
      <c r="K275" s="28">
        <f>K274*35%</f>
        <v>128.02912499999977</v>
      </c>
      <c r="L275" s="28">
        <f>L274*35%</f>
        <v>1348.101300000003</v>
      </c>
    </row>
    <row r="276" spans="1:12" ht="19.5" hidden="1" customHeight="1" x14ac:dyDescent="0.75">
      <c r="A276" s="43" t="s">
        <v>116</v>
      </c>
      <c r="B276" s="44" t="s">
        <v>100</v>
      </c>
      <c r="C276" s="93">
        <v>7214.65</v>
      </c>
      <c r="D276" s="46">
        <f>'[7]LT B'!J30</f>
        <v>5461.6540000000005</v>
      </c>
      <c r="E276" s="46">
        <f>'[7]LT B'!K30</f>
        <v>3081.3</v>
      </c>
      <c r="F276" s="46">
        <f>'[7]LT B'!L30-2000</f>
        <v>9182.2140000000018</v>
      </c>
      <c r="G276" s="47">
        <f t="shared" si="34"/>
        <v>1.2727178726618757</v>
      </c>
      <c r="H276" s="48">
        <f t="shared" si="35"/>
        <v>0.56416975516940471</v>
      </c>
      <c r="I276" s="28">
        <f>I274-I275</f>
        <v>1964.835599999999</v>
      </c>
      <c r="J276" s="28">
        <f>J274-J275</f>
        <v>1036.9132187309892</v>
      </c>
      <c r="K276" s="28">
        <f>K274-K275</f>
        <v>237.76837499999957</v>
      </c>
      <c r="L276" s="28">
        <f>L274-L275</f>
        <v>2503.6167000000059</v>
      </c>
    </row>
    <row r="277" spans="1:12" ht="19.5" hidden="1" customHeight="1" x14ac:dyDescent="0.75">
      <c r="A277" s="43" t="s">
        <v>118</v>
      </c>
      <c r="B277" s="44" t="s">
        <v>100</v>
      </c>
      <c r="C277" s="93">
        <v>6606.96</v>
      </c>
      <c r="D277" s="46">
        <f>D276*88.5%</f>
        <v>4833.5637900000002</v>
      </c>
      <c r="E277" s="46">
        <f>E276*88.5%</f>
        <v>2726.9505000000004</v>
      </c>
      <c r="F277" s="46">
        <f>F276*88.5%</f>
        <v>8126.259390000002</v>
      </c>
      <c r="G277" s="47">
        <f t="shared" si="34"/>
        <v>1.229954379926623</v>
      </c>
      <c r="H277" s="48">
        <f t="shared" si="35"/>
        <v>0.56416975516940482</v>
      </c>
      <c r="I277" s="28">
        <f>I276*60%</f>
        <v>1178.9013599999994</v>
      </c>
      <c r="J277" s="28">
        <f>J276*60%</f>
        <v>622.14793123859351</v>
      </c>
      <c r="K277" s="28">
        <f>K276*60%</f>
        <v>142.66102499999974</v>
      </c>
      <c r="L277" s="28">
        <f>L276*60%</f>
        <v>1502.1700200000034</v>
      </c>
    </row>
    <row r="278" spans="1:12" ht="19.5" hidden="1" customHeight="1" x14ac:dyDescent="0.75">
      <c r="A278" s="43" t="s">
        <v>120</v>
      </c>
      <c r="B278" s="44" t="s">
        <v>121</v>
      </c>
      <c r="C278" s="94">
        <v>227</v>
      </c>
      <c r="D278" s="72">
        <f>[7]LT!J56</f>
        <v>270</v>
      </c>
      <c r="E278" s="72">
        <f>[7]LT!K56</f>
        <v>227</v>
      </c>
      <c r="F278" s="72">
        <v>270</v>
      </c>
      <c r="G278" s="47">
        <f t="shared" si="34"/>
        <v>1.1894273127753303</v>
      </c>
      <c r="H278" s="48">
        <f t="shared" si="35"/>
        <v>0.84074074074074079</v>
      </c>
      <c r="I278" s="49"/>
      <c r="J278" s="50"/>
    </row>
    <row r="279" spans="1:12" ht="19.5" hidden="1" customHeight="1" x14ac:dyDescent="0.75">
      <c r="A279" s="43" t="s">
        <v>123</v>
      </c>
      <c r="B279" s="44" t="s">
        <v>124</v>
      </c>
      <c r="C279" s="93">
        <f>C276/C278/12*1000</f>
        <v>2648.5499265785611</v>
      </c>
      <c r="D279" s="64">
        <f>D276/D278*1000</f>
        <v>20228.34814814815</v>
      </c>
      <c r="E279" s="64">
        <f>E276/E278*1000</f>
        <v>13574.008810572688</v>
      </c>
      <c r="F279" s="64">
        <f>F276/F278/12*1000</f>
        <v>2834.0166666666673</v>
      </c>
      <c r="G279" s="47">
        <f t="shared" si="34"/>
        <v>1.0700257670157252</v>
      </c>
      <c r="H279" s="48">
        <f t="shared" si="35"/>
        <v>0.6710389158402611</v>
      </c>
      <c r="I279" s="49"/>
      <c r="J279" s="50"/>
    </row>
    <row r="280" spans="1:12" ht="19.5" hidden="1" customHeight="1" x14ac:dyDescent="0.75">
      <c r="A280" s="43" t="s">
        <v>127</v>
      </c>
      <c r="B280" s="44" t="s">
        <v>124</v>
      </c>
      <c r="C280" s="93">
        <f>C270*1000/C278/12</f>
        <v>15767.731277533037</v>
      </c>
      <c r="D280" s="77">
        <f>D270*1000/D278</f>
        <v>87556.96629629629</v>
      </c>
      <c r="E280" s="77">
        <f>E270*1000/E278</f>
        <v>100812.90748898678</v>
      </c>
      <c r="F280" s="77">
        <f>F270*1000/F278/12</f>
        <v>14891.388888888891</v>
      </c>
      <c r="G280" s="47">
        <f t="shared" si="34"/>
        <v>0.94442178312026281</v>
      </c>
      <c r="H280" s="48">
        <f t="shared" si="35"/>
        <v>1.1513979041694049</v>
      </c>
      <c r="I280" s="49"/>
      <c r="J280" s="50"/>
    </row>
    <row r="281" spans="1:12" ht="19.5" hidden="1" customHeight="1" x14ac:dyDescent="0.75">
      <c r="A281" s="79" t="s">
        <v>128</v>
      </c>
      <c r="B281" s="80" t="s">
        <v>129</v>
      </c>
      <c r="C281" s="95"/>
      <c r="D281" s="81"/>
      <c r="E281" s="82"/>
      <c r="F281" s="81"/>
      <c r="G281" s="83">
        <f>G279/G275</f>
        <v>0.97004963102777497</v>
      </c>
      <c r="H281" s="83">
        <f>H279/H275</f>
        <v>0.82962296514754463</v>
      </c>
      <c r="I281" s="84"/>
      <c r="J281" s="85"/>
    </row>
    <row r="282" spans="1:12" ht="19.5" hidden="1" customHeight="1" x14ac:dyDescent="0.75">
      <c r="A282" s="79" t="s">
        <v>132</v>
      </c>
      <c r="B282" s="80" t="s">
        <v>129</v>
      </c>
      <c r="C282" s="95"/>
      <c r="D282" s="81"/>
      <c r="E282" s="82"/>
      <c r="F282" s="81"/>
      <c r="G282" s="83">
        <f>G276/G273</f>
        <v>0.99882757011579015</v>
      </c>
      <c r="H282" s="83">
        <f>H276/H273</f>
        <v>2.460356961868384</v>
      </c>
      <c r="I282" s="84"/>
      <c r="J282" s="85"/>
    </row>
    <row r="283" spans="1:12" ht="19.5" hidden="1" customHeight="1" x14ac:dyDescent="0.75">
      <c r="A283" s="79" t="s">
        <v>133</v>
      </c>
      <c r="B283" s="80" t="s">
        <v>129</v>
      </c>
      <c r="C283" s="99">
        <f>C276/C273</f>
        <v>6.1198080219366302</v>
      </c>
      <c r="D283" s="86">
        <f>D276/D273</f>
        <v>8.7787063586738157</v>
      </c>
      <c r="E283" s="86">
        <f>E276/E273</f>
        <v>21.598751305761372</v>
      </c>
      <c r="F283" s="86">
        <f>F276/F273</f>
        <v>6.1126329761260854</v>
      </c>
      <c r="G283" s="87"/>
      <c r="H283" s="84"/>
      <c r="I283" s="84"/>
      <c r="J283" s="85"/>
    </row>
    <row r="284" spans="1:12" ht="19.5" hidden="1" customHeight="1" x14ac:dyDescent="0.75">
      <c r="A284" s="79" t="s">
        <v>135</v>
      </c>
      <c r="B284" s="80" t="s">
        <v>129</v>
      </c>
      <c r="C284" s="99">
        <f>C276/C274</f>
        <v>0.42756699319000602</v>
      </c>
      <c r="D284" s="86">
        <f>D276/D274</f>
        <v>0.49048074839633404</v>
      </c>
      <c r="E284" s="86">
        <f>E276/E274</f>
        <v>0.40691409283235347</v>
      </c>
      <c r="F284" s="86">
        <f>F276/F274</f>
        <v>0.41476120398362054</v>
      </c>
      <c r="G284" s="87"/>
      <c r="H284" s="84"/>
      <c r="I284" s="84"/>
      <c r="J284" s="85"/>
    </row>
    <row r="285" spans="1:12" ht="19.5" hidden="1" customHeight="1" x14ac:dyDescent="0.75">
      <c r="A285" s="79" t="s">
        <v>138</v>
      </c>
      <c r="B285" s="80" t="s">
        <v>100</v>
      </c>
      <c r="C285" s="88"/>
      <c r="D285" s="89"/>
      <c r="E285" s="89"/>
      <c r="F285" s="89"/>
      <c r="G285" s="90"/>
      <c r="H285" s="91"/>
      <c r="I285" s="91"/>
      <c r="J285" s="85"/>
    </row>
    <row r="286" spans="1:12" ht="19.5" hidden="1" customHeight="1" x14ac:dyDescent="0.75">
      <c r="A286" s="79" t="s">
        <v>140</v>
      </c>
      <c r="B286" s="80" t="s">
        <v>100</v>
      </c>
      <c r="C286" s="88"/>
      <c r="D286" s="89"/>
      <c r="E286" s="89"/>
      <c r="F286" s="89"/>
      <c r="G286" s="90"/>
      <c r="H286" s="91"/>
      <c r="I286" s="91"/>
      <c r="J286" s="85"/>
    </row>
    <row r="287" spans="1:12" hidden="1" x14ac:dyDescent="0.6"/>
    <row r="288" spans="1:12" hidden="1" x14ac:dyDescent="0.6">
      <c r="A288" s="27" t="s">
        <v>164</v>
      </c>
    </row>
    <row r="289" spans="1:12" ht="12.75" hidden="1" customHeight="1" x14ac:dyDescent="0.6">
      <c r="A289" s="383" t="s">
        <v>81</v>
      </c>
      <c r="B289" s="384" t="s">
        <v>82</v>
      </c>
      <c r="C289" s="386" t="s">
        <v>83</v>
      </c>
      <c r="D289" s="388" t="s">
        <v>84</v>
      </c>
      <c r="E289" s="389"/>
      <c r="F289" s="383" t="s">
        <v>85</v>
      </c>
      <c r="G289" s="390" t="s">
        <v>86</v>
      </c>
      <c r="H289" s="391"/>
      <c r="I289" s="29"/>
      <c r="J289" s="30"/>
    </row>
    <row r="290" spans="1:12" ht="31.5" hidden="1" x14ac:dyDescent="0.6">
      <c r="A290" s="383"/>
      <c r="B290" s="385"/>
      <c r="C290" s="387"/>
      <c r="D290" s="32" t="s">
        <v>90</v>
      </c>
      <c r="E290" s="32" t="s">
        <v>91</v>
      </c>
      <c r="F290" s="383"/>
      <c r="G290" s="33" t="s">
        <v>92</v>
      </c>
      <c r="H290" s="34" t="s">
        <v>93</v>
      </c>
      <c r="I290" s="35"/>
      <c r="J290" s="36"/>
    </row>
    <row r="291" spans="1:12" hidden="1" x14ac:dyDescent="0.6">
      <c r="A291" s="38">
        <v>1</v>
      </c>
      <c r="B291" s="38">
        <v>2</v>
      </c>
      <c r="C291" s="39"/>
      <c r="D291" s="38">
        <v>8</v>
      </c>
      <c r="E291" s="38">
        <v>9</v>
      </c>
      <c r="F291" s="38">
        <v>5</v>
      </c>
      <c r="G291" s="40">
        <v>10</v>
      </c>
      <c r="H291" s="38">
        <v>11</v>
      </c>
      <c r="I291" s="41"/>
      <c r="J291" s="42"/>
    </row>
    <row r="292" spans="1:12" ht="19.5" hidden="1" customHeight="1" x14ac:dyDescent="0.75">
      <c r="A292" s="43" t="s">
        <v>99</v>
      </c>
      <c r="B292" s="44" t="s">
        <v>100</v>
      </c>
      <c r="C292" s="93">
        <v>179313.83</v>
      </c>
      <c r="D292" s="46">
        <f>[7]RESULTADO!C19</f>
        <v>100327.44248861432</v>
      </c>
      <c r="E292" s="46">
        <f>[7]RESULTADO!D19</f>
        <v>123511.52</v>
      </c>
      <c r="F292" s="46">
        <f>[7]HLG!L9</f>
        <v>217539.89999999997</v>
      </c>
      <c r="G292" s="47">
        <f t="shared" ref="G292:G302" si="36">F292/C292</f>
        <v>1.2131797084474742</v>
      </c>
      <c r="H292" s="48">
        <f>E292/D292</f>
        <v>1.231084107561266</v>
      </c>
      <c r="I292" s="49"/>
      <c r="J292" s="50"/>
    </row>
    <row r="293" spans="1:12" ht="19.5" hidden="1" customHeight="1" x14ac:dyDescent="0.75">
      <c r="A293" s="43" t="s">
        <v>105</v>
      </c>
      <c r="B293" s="44" t="s">
        <v>100</v>
      </c>
      <c r="C293" s="93">
        <v>178447.46</v>
      </c>
      <c r="D293" s="46">
        <f>[7]RESULTADO!P19</f>
        <v>100327.44248861432</v>
      </c>
      <c r="E293" s="46">
        <f>[7]RESULTADO!Q19</f>
        <v>123106.71</v>
      </c>
      <c r="F293" s="46">
        <f>[7]HLG!L10</f>
        <v>217539.89999999997</v>
      </c>
      <c r="G293" s="47">
        <f t="shared" si="36"/>
        <v>1.2190697474763719</v>
      </c>
      <c r="H293" s="48">
        <f t="shared" ref="H293:H302" si="37">E293/D293</f>
        <v>1.2270492194991494</v>
      </c>
      <c r="I293" s="49"/>
      <c r="J293" s="50"/>
    </row>
    <row r="294" spans="1:12" ht="19.5" hidden="1" customHeight="1" x14ac:dyDescent="0.75">
      <c r="A294" s="43" t="s">
        <v>107</v>
      </c>
      <c r="B294" s="44" t="s">
        <v>100</v>
      </c>
      <c r="C294" s="93">
        <v>10282.250000000029</v>
      </c>
      <c r="D294" s="46">
        <f>[7]RESULTADO!L19</f>
        <v>4801.1960198986926</v>
      </c>
      <c r="E294" s="46">
        <f>[7]RESULTADO!M19</f>
        <v>10213.430000000008</v>
      </c>
      <c r="F294" s="46">
        <f>[7]HLG!L35</f>
        <v>16385.31999999992</v>
      </c>
      <c r="G294" s="47">
        <f t="shared" si="36"/>
        <v>1.5935539400422936</v>
      </c>
      <c r="H294" s="48">
        <f t="shared" si="37"/>
        <v>2.127267863605268</v>
      </c>
      <c r="I294" s="49"/>
      <c r="J294" s="50"/>
    </row>
    <row r="295" spans="1:12" ht="19.5" hidden="1" customHeight="1" x14ac:dyDescent="0.75">
      <c r="A295" s="63" t="s">
        <v>108</v>
      </c>
      <c r="B295" s="44" t="s">
        <v>100</v>
      </c>
      <c r="C295" s="65">
        <f>I299</f>
        <v>3809.5736250000109</v>
      </c>
      <c r="D295" s="65">
        <f>J299</f>
        <v>1778.8431253724659</v>
      </c>
      <c r="E295" s="65">
        <f>K299</f>
        <v>3784.0758150000024</v>
      </c>
      <c r="F295" s="65">
        <f>L299</f>
        <v>6070.7610599999707</v>
      </c>
      <c r="G295" s="47">
        <f t="shared" si="36"/>
        <v>1.5935539400422936</v>
      </c>
      <c r="H295" s="48">
        <f t="shared" si="37"/>
        <v>2.1272678636052675</v>
      </c>
      <c r="I295" s="28">
        <f>C294*5%</f>
        <v>514.11250000000143</v>
      </c>
      <c r="J295" s="28">
        <f>D294*5%</f>
        <v>240.05980099493465</v>
      </c>
      <c r="K295" s="28">
        <f>E294*5%</f>
        <v>510.67150000000038</v>
      </c>
      <c r="L295" s="28">
        <f>F294*5%</f>
        <v>819.26599999999598</v>
      </c>
    </row>
    <row r="296" spans="1:12" ht="19.5" hidden="1" customHeight="1" x14ac:dyDescent="0.75">
      <c r="A296" s="43" t="s">
        <v>110</v>
      </c>
      <c r="B296" s="44" t="s">
        <v>100</v>
      </c>
      <c r="C296" s="93">
        <v>54061.940000000031</v>
      </c>
      <c r="D296" s="46">
        <f>'[7]EMPLEO Y SALARIO'!C19</f>
        <v>36760.103580479605</v>
      </c>
      <c r="E296" s="46">
        <f>'[7]EMPLEO Y SALARIO'!D19</f>
        <v>38509.450000000012</v>
      </c>
      <c r="F296" s="46">
        <f>[7]HLG!L5</f>
        <v>78742.057861999914</v>
      </c>
      <c r="G296" s="47">
        <f t="shared" si="36"/>
        <v>1.4565155793891205</v>
      </c>
      <c r="H296" s="48">
        <f t="shared" si="37"/>
        <v>1.047588179823556</v>
      </c>
      <c r="I296" s="28">
        <f>C294-I295</f>
        <v>9768.137500000028</v>
      </c>
      <c r="J296" s="28">
        <f>D294-J295</f>
        <v>4561.1362189037582</v>
      </c>
      <c r="K296" s="28">
        <f>E294-K295</f>
        <v>9702.7585000000072</v>
      </c>
      <c r="L296" s="28">
        <f>F294-L295</f>
        <v>15566.053999999924</v>
      </c>
    </row>
    <row r="297" spans="1:12" ht="19.5" hidden="1" customHeight="1" x14ac:dyDescent="0.75">
      <c r="A297" s="43" t="s">
        <v>112</v>
      </c>
      <c r="B297" s="44" t="s">
        <v>113</v>
      </c>
      <c r="C297" s="93">
        <f>C296*1000/12/C300</f>
        <v>9565.0990799716965</v>
      </c>
      <c r="D297" s="64">
        <f>'[7]EMPLEO Y SALARIO'!I39</f>
        <v>13175.664365763301</v>
      </c>
      <c r="E297" s="64">
        <f>'[7]EMPLEO Y SALARIO'!J39</f>
        <v>13626.840056617133</v>
      </c>
      <c r="F297" s="64">
        <f>F296/F300*1000/12</f>
        <v>14111.479903584213</v>
      </c>
      <c r="G297" s="47">
        <f t="shared" si="36"/>
        <v>1.475309328800593</v>
      </c>
      <c r="H297" s="48">
        <f t="shared" si="37"/>
        <v>1.0342431074691159</v>
      </c>
      <c r="I297" s="28">
        <f>I296*35%</f>
        <v>3418.8481250000095</v>
      </c>
      <c r="J297" s="28">
        <f>J296*35%</f>
        <v>1596.3976766163153</v>
      </c>
      <c r="K297" s="28">
        <f>K296*35%</f>
        <v>3395.9654750000022</v>
      </c>
      <c r="L297" s="28">
        <f>L296*35%</f>
        <v>5448.1188999999731</v>
      </c>
    </row>
    <row r="298" spans="1:12" ht="19.5" hidden="1" customHeight="1" x14ac:dyDescent="0.75">
      <c r="A298" s="43" t="s">
        <v>116</v>
      </c>
      <c r="B298" s="44" t="s">
        <v>100</v>
      </c>
      <c r="C298" s="93">
        <v>18904.02</v>
      </c>
      <c r="D298" s="46">
        <f>'[7]EMPLEO Y SALARIO'!I19</f>
        <v>16694.307000833338</v>
      </c>
      <c r="E298" s="46">
        <f>'[7]EMPLEO Y SALARIO'!J19</f>
        <v>11651.85</v>
      </c>
      <c r="F298" s="46">
        <f>'[7]HLG B'!L30-3400</f>
        <v>27488.6</v>
      </c>
      <c r="G298" s="47">
        <f t="shared" si="36"/>
        <v>1.4541139926851536</v>
      </c>
      <c r="H298" s="48">
        <f t="shared" si="37"/>
        <v>0.69795349992176192</v>
      </c>
      <c r="I298" s="28">
        <f>I296-I297</f>
        <v>6349.2893750000185</v>
      </c>
      <c r="J298" s="28">
        <f>J296-J297</f>
        <v>2964.7385422874431</v>
      </c>
      <c r="K298" s="28">
        <f>K296-K297</f>
        <v>6306.7930250000045</v>
      </c>
      <c r="L298" s="28">
        <f>L296-L297</f>
        <v>10117.935099999951</v>
      </c>
    </row>
    <row r="299" spans="1:12" ht="19.5" hidden="1" customHeight="1" x14ac:dyDescent="0.75">
      <c r="A299" s="43" t="s">
        <v>118</v>
      </c>
      <c r="B299" s="44" t="s">
        <v>100</v>
      </c>
      <c r="C299" s="93">
        <v>16522.34</v>
      </c>
      <c r="D299" s="46">
        <f>D298*88.5%</f>
        <v>14774.461695737504</v>
      </c>
      <c r="E299" s="46">
        <f>E298*88.5%</f>
        <v>10311.88725</v>
      </c>
      <c r="F299" s="46">
        <f>F298*88.5%</f>
        <v>24327.411</v>
      </c>
      <c r="G299" s="47">
        <f t="shared" si="36"/>
        <v>1.4723950118445692</v>
      </c>
      <c r="H299" s="48"/>
      <c r="I299" s="28">
        <f>I298*60%</f>
        <v>3809.5736250000109</v>
      </c>
      <c r="J299" s="28">
        <f>J298*60%</f>
        <v>1778.8431253724659</v>
      </c>
      <c r="K299" s="28">
        <f>K298*60%</f>
        <v>3784.0758150000024</v>
      </c>
      <c r="L299" s="28">
        <f>L298*60%</f>
        <v>6070.7610599999707</v>
      </c>
    </row>
    <row r="300" spans="1:12" ht="19.5" hidden="1" customHeight="1" x14ac:dyDescent="0.75">
      <c r="A300" s="43" t="s">
        <v>120</v>
      </c>
      <c r="B300" s="44" t="s">
        <v>121</v>
      </c>
      <c r="C300" s="94">
        <v>471</v>
      </c>
      <c r="D300" s="72">
        <f>[7]HLG!J56</f>
        <v>465</v>
      </c>
      <c r="E300" s="72">
        <f>[7]HLG!K56</f>
        <v>471</v>
      </c>
      <c r="F300" s="72">
        <v>465</v>
      </c>
      <c r="G300" s="47">
        <f t="shared" si="36"/>
        <v>0.98726114649681529</v>
      </c>
      <c r="H300" s="48">
        <f t="shared" si="37"/>
        <v>1.0129032258064516</v>
      </c>
      <c r="I300" s="49"/>
      <c r="J300" s="50"/>
    </row>
    <row r="301" spans="1:12" ht="19.5" hidden="1" customHeight="1" x14ac:dyDescent="0.75">
      <c r="A301" s="43" t="s">
        <v>123</v>
      </c>
      <c r="B301" s="44" t="s">
        <v>124</v>
      </c>
      <c r="C301" s="93">
        <f>C298/C300/12*1000</f>
        <v>3344.6602972399151</v>
      </c>
      <c r="D301" s="64">
        <f>'[7]EMPLEO Y SALARIO'!F39</f>
        <v>5983.6225809438483</v>
      </c>
      <c r="E301" s="64">
        <f>'[7]EMPLEO Y SALARIO'!G39</f>
        <v>4123.0891719745223</v>
      </c>
      <c r="F301" s="64">
        <f>F298/F300/12*1000</f>
        <v>4926.2724014336918</v>
      </c>
      <c r="G301" s="47">
        <f t="shared" si="36"/>
        <v>1.4728767538810912</v>
      </c>
      <c r="H301" s="48">
        <f t="shared" si="37"/>
        <v>0.68906237253422353</v>
      </c>
      <c r="I301" s="49"/>
      <c r="J301" s="50"/>
    </row>
    <row r="302" spans="1:12" ht="19.5" hidden="1" customHeight="1" x14ac:dyDescent="0.75">
      <c r="A302" s="43" t="s">
        <v>127</v>
      </c>
      <c r="B302" s="44" t="s">
        <v>124</v>
      </c>
      <c r="C302" s="93">
        <f>C292*1000/C300/12</f>
        <v>31725.730714791225</v>
      </c>
      <c r="D302" s="77">
        <f>D292*1000/D300/2</f>
        <v>107878.97041786487</v>
      </c>
      <c r="E302" s="77">
        <f>E292*1000/E300/2</f>
        <v>131116.26326963908</v>
      </c>
      <c r="F302" s="77">
        <f>F292*1000/F300/12</f>
        <v>38985.645161290318</v>
      </c>
      <c r="G302" s="47">
        <f t="shared" si="36"/>
        <v>1.2288336401693771</v>
      </c>
      <c r="H302" s="48">
        <f t="shared" si="37"/>
        <v>1.2154015074649442</v>
      </c>
      <c r="I302" s="49"/>
      <c r="J302" s="50"/>
    </row>
    <row r="303" spans="1:12" ht="19.5" hidden="1" customHeight="1" x14ac:dyDescent="0.75">
      <c r="A303" s="79" t="s">
        <v>148</v>
      </c>
      <c r="B303" s="80" t="s">
        <v>129</v>
      </c>
      <c r="C303" s="95"/>
      <c r="D303" s="81"/>
      <c r="E303" s="82"/>
      <c r="F303" s="81"/>
      <c r="G303" s="96">
        <f>G301/G297</f>
        <v>0.99835114245398326</v>
      </c>
      <c r="H303" s="108">
        <f>H301/H297</f>
        <v>0.6662479716402655</v>
      </c>
      <c r="I303" s="101"/>
      <c r="J303" s="102"/>
    </row>
    <row r="304" spans="1:12" ht="19.5" hidden="1" customHeight="1" x14ac:dyDescent="0.75">
      <c r="A304" s="79" t="s">
        <v>149</v>
      </c>
      <c r="B304" s="80" t="s">
        <v>129</v>
      </c>
      <c r="C304" s="95"/>
      <c r="D304" s="81"/>
      <c r="E304" s="82"/>
      <c r="F304" s="81"/>
      <c r="G304" s="96">
        <f>G298/G295</f>
        <v>0.91249750394176232</v>
      </c>
      <c r="H304" s="108">
        <f>H298/H295</f>
        <v>0.32809854925316217</v>
      </c>
      <c r="I304" s="101"/>
      <c r="J304" s="102"/>
    </row>
    <row r="305" spans="1:12" ht="19.5" hidden="1" customHeight="1" x14ac:dyDescent="0.75">
      <c r="A305" s="79" t="s">
        <v>133</v>
      </c>
      <c r="B305" s="80" t="s">
        <v>129</v>
      </c>
      <c r="C305" s="99">
        <f>C298/C295</f>
        <v>4.962240360953766</v>
      </c>
      <c r="D305" s="86">
        <f>D298/D295</f>
        <v>9.3849236971572605</v>
      </c>
      <c r="E305" s="86">
        <f>E298/E295</f>
        <v>3.07917984988892</v>
      </c>
      <c r="F305" s="86">
        <f>F298/F295</f>
        <v>4.5280319433293803</v>
      </c>
      <c r="G305" s="87"/>
      <c r="H305" s="84"/>
      <c r="I305" s="84"/>
      <c r="J305" s="85"/>
    </row>
    <row r="306" spans="1:12" ht="19.5" hidden="1" customHeight="1" x14ac:dyDescent="0.75">
      <c r="A306" s="79" t="s">
        <v>135</v>
      </c>
      <c r="B306" s="80" t="s">
        <v>129</v>
      </c>
      <c r="C306" s="99">
        <f>C298/C296</f>
        <v>0.34967335615407047</v>
      </c>
      <c r="D306" s="86">
        <f>D298/D296</f>
        <v>0.45414200110410924</v>
      </c>
      <c r="E306" s="86">
        <f>E298/E296</f>
        <v>0.30257118707226399</v>
      </c>
      <c r="F306" s="86">
        <f>F298/F296</f>
        <v>0.34909679460213483</v>
      </c>
      <c r="G306" s="87"/>
      <c r="H306" s="84"/>
      <c r="I306" s="84"/>
      <c r="J306" s="85"/>
    </row>
    <row r="307" spans="1:12" ht="19.5" hidden="1" customHeight="1" x14ac:dyDescent="0.75">
      <c r="A307" s="79" t="s">
        <v>138</v>
      </c>
      <c r="B307" s="80" t="s">
        <v>100</v>
      </c>
      <c r="C307" s="88"/>
      <c r="D307" s="89"/>
      <c r="E307" s="89"/>
      <c r="F307" s="89"/>
      <c r="G307" s="90"/>
      <c r="H307" s="91"/>
      <c r="I307" s="91"/>
      <c r="J307" s="85"/>
    </row>
    <row r="308" spans="1:12" ht="19.5" hidden="1" customHeight="1" x14ac:dyDescent="0.75">
      <c r="A308" s="79" t="s">
        <v>140</v>
      </c>
      <c r="B308" s="80" t="s">
        <v>100</v>
      </c>
      <c r="C308" s="88"/>
      <c r="D308" s="89"/>
      <c r="E308" s="89"/>
      <c r="F308" s="89"/>
      <c r="G308" s="90"/>
      <c r="H308" s="91"/>
      <c r="I308" s="91"/>
      <c r="J308" s="85"/>
    </row>
    <row r="309" spans="1:12" hidden="1" x14ac:dyDescent="0.6"/>
    <row r="310" spans="1:12" hidden="1" x14ac:dyDescent="0.6">
      <c r="A310" s="27" t="s">
        <v>165</v>
      </c>
    </row>
    <row r="311" spans="1:12" ht="12.75" hidden="1" customHeight="1" x14ac:dyDescent="0.6">
      <c r="A311" s="383" t="s">
        <v>81</v>
      </c>
      <c r="B311" s="384" t="s">
        <v>82</v>
      </c>
      <c r="C311" s="386" t="s">
        <v>83</v>
      </c>
      <c r="D311" s="388" t="s">
        <v>84</v>
      </c>
      <c r="E311" s="389"/>
      <c r="F311" s="383" t="s">
        <v>85</v>
      </c>
      <c r="G311" s="390" t="s">
        <v>86</v>
      </c>
      <c r="H311" s="391"/>
      <c r="I311" s="29"/>
      <c r="J311" s="30"/>
    </row>
    <row r="312" spans="1:12" ht="31.5" hidden="1" x14ac:dyDescent="0.6">
      <c r="A312" s="383"/>
      <c r="B312" s="385"/>
      <c r="C312" s="387"/>
      <c r="D312" s="32" t="s">
        <v>90</v>
      </c>
      <c r="E312" s="32" t="s">
        <v>91</v>
      </c>
      <c r="F312" s="383"/>
      <c r="G312" s="33" t="s">
        <v>92</v>
      </c>
      <c r="H312" s="34" t="s">
        <v>93</v>
      </c>
      <c r="I312" s="35"/>
      <c r="J312" s="36"/>
    </row>
    <row r="313" spans="1:12" hidden="1" x14ac:dyDescent="0.6">
      <c r="A313" s="38">
        <v>1</v>
      </c>
      <c r="B313" s="38">
        <v>2</v>
      </c>
      <c r="C313" s="39"/>
      <c r="D313" s="38">
        <v>8</v>
      </c>
      <c r="E313" s="38">
        <v>9</v>
      </c>
      <c r="F313" s="38">
        <v>5</v>
      </c>
      <c r="G313" s="40">
        <v>10</v>
      </c>
      <c r="H313" s="38">
        <v>11</v>
      </c>
      <c r="I313" s="41"/>
      <c r="J313" s="42"/>
    </row>
    <row r="314" spans="1:12" ht="19.5" hidden="1" customHeight="1" x14ac:dyDescent="0.75">
      <c r="A314" s="43" t="s">
        <v>99</v>
      </c>
      <c r="B314" s="44" t="s">
        <v>100</v>
      </c>
      <c r="C314" s="93">
        <v>80372.25</v>
      </c>
      <c r="D314" s="46">
        <f>[7]RESULTADO!C20</f>
        <v>33864.959000000003</v>
      </c>
      <c r="E314" s="46">
        <f>[7]RESULTADO!D20</f>
        <v>42066.16</v>
      </c>
      <c r="F314" s="46">
        <f>[7]GRM!L9</f>
        <v>80618.700000000012</v>
      </c>
      <c r="G314" s="47">
        <f t="shared" ref="G314:G324" si="38">F314/C314</f>
        <v>1.0030663568582441</v>
      </c>
      <c r="H314" s="48">
        <f>E314/D314</f>
        <v>1.242173658028052</v>
      </c>
      <c r="I314" s="49"/>
      <c r="J314" s="50"/>
    </row>
    <row r="315" spans="1:12" ht="19.5" hidden="1" customHeight="1" x14ac:dyDescent="0.75">
      <c r="A315" s="43" t="s">
        <v>105</v>
      </c>
      <c r="B315" s="44" t="s">
        <v>100</v>
      </c>
      <c r="C315" s="93">
        <v>79945.48</v>
      </c>
      <c r="D315" s="46">
        <f>[7]RESULTADO!P20</f>
        <v>33864.959000000003</v>
      </c>
      <c r="E315" s="46">
        <f>[7]RESULTADO!Q20</f>
        <v>41945.090000000004</v>
      </c>
      <c r="F315" s="46">
        <f>[7]GRM!L10</f>
        <v>80618.700000000012</v>
      </c>
      <c r="G315" s="47">
        <f t="shared" si="38"/>
        <v>1.0084209889039382</v>
      </c>
      <c r="H315" s="48">
        <f t="shared" ref="H315:H324" si="39">E315/D315</f>
        <v>1.2385985761860807</v>
      </c>
      <c r="I315" s="49"/>
      <c r="J315" s="50"/>
    </row>
    <row r="316" spans="1:12" ht="19.5" hidden="1" customHeight="1" x14ac:dyDescent="0.75">
      <c r="A316" s="43" t="s">
        <v>107</v>
      </c>
      <c r="B316" s="44" t="s">
        <v>100</v>
      </c>
      <c r="C316" s="93">
        <v>15702.400000000001</v>
      </c>
      <c r="D316" s="46">
        <f>[7]RESULTADO!L20</f>
        <v>4735.390677096213</v>
      </c>
      <c r="E316" s="46">
        <f>[7]RESULTADO!M20</f>
        <v>6348.4600000000064</v>
      </c>
      <c r="F316" s="46">
        <f>[7]GRM!L35+100</f>
        <v>17532.503184660032</v>
      </c>
      <c r="G316" s="47">
        <f t="shared" si="38"/>
        <v>1.1165492653772691</v>
      </c>
      <c r="H316" s="48">
        <f t="shared" si="39"/>
        <v>1.3406412338280276</v>
      </c>
      <c r="I316" s="49"/>
      <c r="J316" s="50"/>
    </row>
    <row r="317" spans="1:12" ht="19.5" hidden="1" customHeight="1" x14ac:dyDescent="0.75">
      <c r="A317" s="63" t="s">
        <v>108</v>
      </c>
      <c r="B317" s="44" t="s">
        <v>100</v>
      </c>
      <c r="C317" s="65">
        <f>I321</f>
        <v>5817.7392</v>
      </c>
      <c r="D317" s="65">
        <f>J321</f>
        <v>1754.462245864147</v>
      </c>
      <c r="E317" s="65">
        <f>K321</f>
        <v>2352.1044300000021</v>
      </c>
      <c r="F317" s="65">
        <f>L321</f>
        <v>6495.7924299165425</v>
      </c>
      <c r="G317" s="47">
        <f t="shared" si="38"/>
        <v>1.1165492653772693</v>
      </c>
      <c r="H317" s="48">
        <f t="shared" si="39"/>
        <v>1.3406412338280276</v>
      </c>
      <c r="I317" s="28">
        <f>C316*5%</f>
        <v>785.12000000000012</v>
      </c>
      <c r="J317" s="28">
        <f>D316*5%</f>
        <v>236.76953385481067</v>
      </c>
      <c r="K317" s="28">
        <f>E316*5%</f>
        <v>317.42300000000034</v>
      </c>
      <c r="L317" s="28">
        <f>F316*5%</f>
        <v>876.62515923300168</v>
      </c>
    </row>
    <row r="318" spans="1:12" ht="19.5" hidden="1" customHeight="1" x14ac:dyDescent="0.75">
      <c r="A318" s="43" t="s">
        <v>110</v>
      </c>
      <c r="B318" s="44" t="s">
        <v>100</v>
      </c>
      <c r="C318" s="93">
        <v>32852.51</v>
      </c>
      <c r="D318" s="46">
        <f>'[7]EMPLEO Y SALARIO'!C20</f>
        <v>12590.730167096212</v>
      </c>
      <c r="E318" s="46">
        <f>'[7]EMPLEO Y SALARIO'!D20</f>
        <v>15876.210000000006</v>
      </c>
      <c r="F318" s="46">
        <f>[7]GRM!L5+1400</f>
        <v>36569.060184660033</v>
      </c>
      <c r="G318" s="47">
        <f t="shared" si="38"/>
        <v>1.1131283480215068</v>
      </c>
      <c r="H318" s="48">
        <f t="shared" si="39"/>
        <v>1.260944344712418</v>
      </c>
      <c r="I318" s="28">
        <f>C316-I317</f>
        <v>14917.28</v>
      </c>
      <c r="J318" s="28">
        <f>D316-J317</f>
        <v>4498.621143241402</v>
      </c>
      <c r="K318" s="28">
        <f>E316-K317</f>
        <v>6031.0370000000057</v>
      </c>
      <c r="L318" s="28">
        <f>F316-L317</f>
        <v>16655.878025427031</v>
      </c>
    </row>
    <row r="319" spans="1:12" ht="19.5" hidden="1" customHeight="1" x14ac:dyDescent="0.75">
      <c r="A319" s="43" t="s">
        <v>112</v>
      </c>
      <c r="B319" s="44" t="s">
        <v>113</v>
      </c>
      <c r="C319" s="93">
        <f>C318*1000/12/C322</f>
        <v>14185.021588946462</v>
      </c>
      <c r="D319" s="64">
        <f>'[7]EMPLEO Y SALARIO'!I40</f>
        <v>10492.275139246842</v>
      </c>
      <c r="E319" s="64">
        <f>'[7]EMPLEO Y SALARIO'!J40</f>
        <v>13710.025906735757</v>
      </c>
      <c r="F319" s="64">
        <f>F318/F322*1000/12</f>
        <v>15237.108410275012</v>
      </c>
      <c r="G319" s="47">
        <f t="shared" si="38"/>
        <v>1.0741688558407538</v>
      </c>
      <c r="H319" s="48">
        <f t="shared" si="39"/>
        <v>1.3066780774221951</v>
      </c>
      <c r="I319" s="28">
        <f>I318*35%</f>
        <v>5221.0479999999998</v>
      </c>
      <c r="J319" s="28">
        <f>J318*35%</f>
        <v>1574.5174001344906</v>
      </c>
      <c r="K319" s="28">
        <f>K318*35%</f>
        <v>2110.862950000002</v>
      </c>
      <c r="L319" s="28">
        <f>L318*35%</f>
        <v>5829.5573088994606</v>
      </c>
    </row>
    <row r="320" spans="1:12" ht="19.5" hidden="1" customHeight="1" x14ac:dyDescent="0.75">
      <c r="A320" s="43" t="s">
        <v>116</v>
      </c>
      <c r="B320" s="44" t="s">
        <v>100</v>
      </c>
      <c r="C320" s="93">
        <v>6440.07</v>
      </c>
      <c r="D320" s="46">
        <f>'[7]EMPLEO Y SALARIO'!I20</f>
        <v>3294.6</v>
      </c>
      <c r="E320" s="46">
        <f>'[7]EMPLEO Y SALARIO'!J20</f>
        <v>3685.09</v>
      </c>
      <c r="F320" s="46">
        <f>'[7]GRM B'!L30</f>
        <v>7150</v>
      </c>
      <c r="G320" s="47">
        <f t="shared" si="38"/>
        <v>1.1102363794182362</v>
      </c>
      <c r="H320" s="48">
        <f t="shared" si="39"/>
        <v>1.1185242518059857</v>
      </c>
      <c r="I320" s="28">
        <f>I318-I319</f>
        <v>9696.232</v>
      </c>
      <c r="J320" s="28">
        <f>J318-J319</f>
        <v>2924.1037431069117</v>
      </c>
      <c r="K320" s="28">
        <f>K318-K319</f>
        <v>3920.1740500000037</v>
      </c>
      <c r="L320" s="28">
        <f>L318-L319</f>
        <v>10826.320716527571</v>
      </c>
    </row>
    <row r="321" spans="1:12" ht="19.5" hidden="1" customHeight="1" x14ac:dyDescent="0.75">
      <c r="A321" s="43" t="s">
        <v>118</v>
      </c>
      <c r="B321" s="44" t="s">
        <v>100</v>
      </c>
      <c r="C321" s="93">
        <v>57123.71</v>
      </c>
      <c r="D321" s="46">
        <f>D320*88.5%</f>
        <v>2915.721</v>
      </c>
      <c r="E321" s="46">
        <f>E320*88.5%</f>
        <v>3261.30465</v>
      </c>
      <c r="F321" s="46">
        <f>F320*88.5%</f>
        <v>6327.75</v>
      </c>
      <c r="G321" s="47">
        <f t="shared" si="38"/>
        <v>0.11077274217658482</v>
      </c>
      <c r="H321" s="48"/>
      <c r="I321" s="28">
        <f>I320*60%</f>
        <v>5817.7392</v>
      </c>
      <c r="J321" s="28">
        <f>J320*60%</f>
        <v>1754.462245864147</v>
      </c>
      <c r="K321" s="28">
        <f>K320*60%</f>
        <v>2352.1044300000021</v>
      </c>
      <c r="L321" s="28">
        <f>L320*60%</f>
        <v>6495.7924299165425</v>
      </c>
    </row>
    <row r="322" spans="1:12" ht="19.5" hidden="1" customHeight="1" x14ac:dyDescent="0.75">
      <c r="A322" s="43" t="s">
        <v>120</v>
      </c>
      <c r="B322" s="44" t="s">
        <v>121</v>
      </c>
      <c r="C322" s="94">
        <v>193</v>
      </c>
      <c r="D322" s="72">
        <f>[7]GRM!J56</f>
        <v>200</v>
      </c>
      <c r="E322" s="72">
        <f>[7]GRM!K56</f>
        <v>193</v>
      </c>
      <c r="F322" s="72">
        <v>200</v>
      </c>
      <c r="G322" s="47">
        <f t="shared" si="38"/>
        <v>1.0362694300518134</v>
      </c>
      <c r="H322" s="48">
        <f t="shared" si="39"/>
        <v>0.96499999999999997</v>
      </c>
      <c r="I322" s="49"/>
      <c r="J322" s="50"/>
    </row>
    <row r="323" spans="1:12" ht="19.5" hidden="1" customHeight="1" x14ac:dyDescent="0.75">
      <c r="A323" s="43" t="s">
        <v>123</v>
      </c>
      <c r="B323" s="44" t="s">
        <v>124</v>
      </c>
      <c r="C323" s="93">
        <f>C320/C322/12*1000</f>
        <v>2780.6865284974092</v>
      </c>
      <c r="D323" s="64">
        <f>'[7]EMPLEO Y SALARIO'!F40</f>
        <v>2745.5</v>
      </c>
      <c r="E323" s="64">
        <f>'[7]EMPLEO Y SALARIO'!G40</f>
        <v>3182.2884283246981</v>
      </c>
      <c r="F323" s="64">
        <f>F320/F322/12*1000</f>
        <v>2979.1666666666665</v>
      </c>
      <c r="G323" s="47">
        <f t="shared" si="38"/>
        <v>1.0713781061385979</v>
      </c>
      <c r="H323" s="48">
        <f t="shared" si="39"/>
        <v>1.1590924889181198</v>
      </c>
      <c r="I323" s="49"/>
      <c r="J323" s="50"/>
    </row>
    <row r="324" spans="1:12" ht="19.5" hidden="1" customHeight="1" x14ac:dyDescent="0.75">
      <c r="A324" s="43" t="s">
        <v>127</v>
      </c>
      <c r="B324" s="44" t="s">
        <v>124</v>
      </c>
      <c r="C324" s="93">
        <f>C314*1000/C322/12</f>
        <v>34703.044041450776</v>
      </c>
      <c r="D324" s="77">
        <f>D314*1000/D322/2</f>
        <v>84662.397500000006</v>
      </c>
      <c r="E324" s="77">
        <f>E314*1000/E322/2</f>
        <v>108979.68911917099</v>
      </c>
      <c r="F324" s="77">
        <f>F314*1000/F322/12</f>
        <v>33591.125000000007</v>
      </c>
      <c r="G324" s="47">
        <f t="shared" si="38"/>
        <v>0.96795903436820574</v>
      </c>
      <c r="H324" s="48">
        <f t="shared" si="39"/>
        <v>1.2872265886301055</v>
      </c>
      <c r="I324" s="49"/>
      <c r="J324" s="50"/>
    </row>
    <row r="325" spans="1:12" ht="19.5" hidden="1" customHeight="1" x14ac:dyDescent="0.75">
      <c r="A325" s="79" t="s">
        <v>148</v>
      </c>
      <c r="B325" s="80" t="s">
        <v>129</v>
      </c>
      <c r="C325" s="95"/>
      <c r="D325" s="81"/>
      <c r="E325" s="82"/>
      <c r="F325" s="81"/>
      <c r="G325" s="96">
        <f>G323/G319</f>
        <v>0.99740194506014457</v>
      </c>
      <c r="H325" s="96">
        <f>H323/H319</f>
        <v>0.88705283186871009</v>
      </c>
      <c r="I325" s="84"/>
      <c r="J325" s="85"/>
    </row>
    <row r="326" spans="1:12" ht="19.5" hidden="1" customHeight="1" x14ac:dyDescent="0.75">
      <c r="A326" s="79" t="s">
        <v>149</v>
      </c>
      <c r="B326" s="80" t="s">
        <v>129</v>
      </c>
      <c r="C326" s="95"/>
      <c r="D326" s="81"/>
      <c r="E326" s="82"/>
      <c r="F326" s="81"/>
      <c r="G326" s="96">
        <f>G320/G317</f>
        <v>0.99434607486226767</v>
      </c>
      <c r="H326" s="96">
        <f>H320/H317</f>
        <v>0.83432034132814525</v>
      </c>
      <c r="I326" s="84"/>
      <c r="J326" s="85"/>
    </row>
    <row r="327" spans="1:12" ht="19.5" hidden="1" customHeight="1" x14ac:dyDescent="0.75">
      <c r="A327" s="79" t="s">
        <v>133</v>
      </c>
      <c r="B327" s="80" t="s">
        <v>129</v>
      </c>
      <c r="C327" s="99">
        <f>C320/C317</f>
        <v>1.106971244087394</v>
      </c>
      <c r="D327" s="86">
        <f>D320/D317</f>
        <v>1.8778403512338162</v>
      </c>
      <c r="E327" s="86">
        <f>E320/E317</f>
        <v>1.5667204028011616</v>
      </c>
      <c r="F327" s="86">
        <f>F320/F317</f>
        <v>1.1007125115437013</v>
      </c>
      <c r="G327" s="87"/>
      <c r="H327" s="84"/>
      <c r="I327" s="84"/>
      <c r="J327" s="85"/>
    </row>
    <row r="328" spans="1:12" ht="19.5" hidden="1" customHeight="1" x14ac:dyDescent="0.75">
      <c r="A328" s="79" t="s">
        <v>135</v>
      </c>
      <c r="B328" s="80" t="s">
        <v>129</v>
      </c>
      <c r="C328" s="99">
        <f>C320/C318</f>
        <v>0.19602977063244176</v>
      </c>
      <c r="D328" s="86">
        <f>D320/D318</f>
        <v>0.26166870040705753</v>
      </c>
      <c r="E328" s="86">
        <f>E320/E318</f>
        <v>0.23211396170748552</v>
      </c>
      <c r="F328" s="86">
        <f>F320/F318</f>
        <v>0.19552047451849139</v>
      </c>
      <c r="G328" s="87"/>
      <c r="H328" s="84"/>
      <c r="I328" s="84"/>
      <c r="J328" s="85"/>
    </row>
    <row r="329" spans="1:12" ht="19.5" hidden="1" customHeight="1" x14ac:dyDescent="0.75">
      <c r="A329" s="79" t="s">
        <v>138</v>
      </c>
      <c r="B329" s="80" t="s">
        <v>100</v>
      </c>
      <c r="C329" s="88"/>
      <c r="D329" s="89"/>
      <c r="E329" s="89"/>
      <c r="F329" s="89"/>
      <c r="G329" s="90"/>
      <c r="H329" s="91"/>
      <c r="I329" s="91"/>
      <c r="J329" s="85"/>
    </row>
    <row r="330" spans="1:12" ht="19.5" hidden="1" customHeight="1" x14ac:dyDescent="0.75">
      <c r="A330" s="79" t="s">
        <v>140</v>
      </c>
      <c r="B330" s="80" t="s">
        <v>100</v>
      </c>
      <c r="C330" s="88"/>
      <c r="D330" s="89"/>
      <c r="E330" s="89"/>
      <c r="F330" s="89"/>
      <c r="G330" s="90"/>
      <c r="H330" s="91"/>
      <c r="I330" s="91"/>
      <c r="J330" s="85"/>
    </row>
    <row r="331" spans="1:12" hidden="1" x14ac:dyDescent="0.6"/>
    <row r="332" spans="1:12" hidden="1" x14ac:dyDescent="0.6">
      <c r="A332" s="27" t="s">
        <v>166</v>
      </c>
    </row>
    <row r="333" spans="1:12" ht="18.75" hidden="1" customHeight="1" x14ac:dyDescent="0.6">
      <c r="A333" s="383" t="s">
        <v>81</v>
      </c>
      <c r="B333" s="384" t="s">
        <v>82</v>
      </c>
      <c r="C333" s="386" t="s">
        <v>83</v>
      </c>
      <c r="D333" s="388" t="s">
        <v>84</v>
      </c>
      <c r="E333" s="389"/>
      <c r="F333" s="383" t="s">
        <v>85</v>
      </c>
      <c r="G333" s="390" t="s">
        <v>86</v>
      </c>
      <c r="H333" s="391"/>
      <c r="I333" s="29"/>
      <c r="J333" s="30"/>
    </row>
    <row r="334" spans="1:12" ht="31.5" hidden="1" x14ac:dyDescent="0.6">
      <c r="A334" s="383"/>
      <c r="B334" s="385"/>
      <c r="C334" s="387"/>
      <c r="D334" s="32" t="s">
        <v>90</v>
      </c>
      <c r="E334" s="32" t="s">
        <v>91</v>
      </c>
      <c r="F334" s="383"/>
      <c r="G334" s="33" t="s">
        <v>92</v>
      </c>
      <c r="H334" s="34" t="s">
        <v>93</v>
      </c>
      <c r="I334" s="35"/>
      <c r="J334" s="36"/>
    </row>
    <row r="335" spans="1:12" hidden="1" x14ac:dyDescent="0.6">
      <c r="A335" s="38">
        <v>1</v>
      </c>
      <c r="B335" s="38">
        <v>2</v>
      </c>
      <c r="C335" s="39"/>
      <c r="D335" s="38">
        <v>8</v>
      </c>
      <c r="E335" s="38">
        <v>9</v>
      </c>
      <c r="F335" s="38">
        <v>5</v>
      </c>
      <c r="G335" s="40">
        <v>10</v>
      </c>
      <c r="H335" s="38">
        <v>11</v>
      </c>
      <c r="I335" s="41"/>
      <c r="J335" s="42"/>
    </row>
    <row r="336" spans="1:12" ht="19.5" hidden="1" customHeight="1" x14ac:dyDescent="0.75">
      <c r="A336" s="43" t="s">
        <v>99</v>
      </c>
      <c r="B336" s="44" t="s">
        <v>100</v>
      </c>
      <c r="C336" s="93">
        <v>111286.78</v>
      </c>
      <c r="D336" s="46">
        <f>[7]RESULTADO!C21</f>
        <v>47377.77240331145</v>
      </c>
      <c r="E336" s="46">
        <f>[7]RESULTADO!D21</f>
        <v>35116.069999999992</v>
      </c>
      <c r="F336" s="46">
        <f>[7]SC!L9</f>
        <v>115700.049</v>
      </c>
      <c r="G336" s="47">
        <f t="shared" ref="G336:G346" si="40">F336/C336</f>
        <v>1.0396567229279166</v>
      </c>
      <c r="H336" s="48">
        <f>E336/D336</f>
        <v>0.74119293117178231</v>
      </c>
      <c r="I336" s="49"/>
      <c r="J336" s="50"/>
    </row>
    <row r="337" spans="1:12" ht="19.5" hidden="1" customHeight="1" x14ac:dyDescent="0.75">
      <c r="A337" s="43" t="s">
        <v>105</v>
      </c>
      <c r="B337" s="44" t="s">
        <v>100</v>
      </c>
      <c r="C337" s="93">
        <v>109933.84</v>
      </c>
      <c r="D337" s="46">
        <f>[7]RESULTADO!P21</f>
        <v>47259.732403311449</v>
      </c>
      <c r="E337" s="46">
        <f>[7]RESULTADO!Q21</f>
        <v>34888.179999999993</v>
      </c>
      <c r="F337" s="46">
        <f>[7]SC!L10</f>
        <v>115449.019</v>
      </c>
      <c r="G337" s="47">
        <f t="shared" si="40"/>
        <v>1.0501681647798349</v>
      </c>
      <c r="H337" s="48">
        <f t="shared" ref="H337:H346" si="41">E337/D337</f>
        <v>0.73822212327117209</v>
      </c>
      <c r="I337" s="49"/>
      <c r="J337" s="50"/>
    </row>
    <row r="338" spans="1:12" ht="19.5" hidden="1" customHeight="1" x14ac:dyDescent="0.75">
      <c r="A338" s="43" t="s">
        <v>107</v>
      </c>
      <c r="B338" s="44" t="s">
        <v>100</v>
      </c>
      <c r="C338" s="93">
        <v>15249.559999999998</v>
      </c>
      <c r="D338" s="46">
        <f>[7]RESULTADO!L21</f>
        <v>3936.8562071965862</v>
      </c>
      <c r="E338" s="46">
        <f>[7]RESULTADO!M21</f>
        <v>2200.7899999999936</v>
      </c>
      <c r="F338" s="46">
        <f>[7]SC!L35</f>
        <v>19096.402878354624</v>
      </c>
      <c r="G338" s="47">
        <f t="shared" si="40"/>
        <v>1.2522592703235127</v>
      </c>
      <c r="H338" s="48">
        <f t="shared" si="41"/>
        <v>0.55902219542002629</v>
      </c>
      <c r="I338" s="49"/>
      <c r="J338" s="50"/>
    </row>
    <row r="339" spans="1:12" ht="19.5" hidden="1" customHeight="1" x14ac:dyDescent="0.75">
      <c r="A339" s="63" t="s">
        <v>108</v>
      </c>
      <c r="B339" s="44" t="s">
        <v>100</v>
      </c>
      <c r="C339" s="65">
        <f>I343</f>
        <v>5649.9619799999991</v>
      </c>
      <c r="D339" s="65">
        <f>J343</f>
        <v>1458.6052247663349</v>
      </c>
      <c r="E339" s="65">
        <f>K343</f>
        <v>815.39269499999762</v>
      </c>
      <c r="F339" s="65">
        <f>L343</f>
        <v>7075.217266430388</v>
      </c>
      <c r="G339" s="47">
        <f t="shared" si="40"/>
        <v>1.2522592703235127</v>
      </c>
      <c r="H339" s="48">
        <f t="shared" si="41"/>
        <v>0.5590221954200264</v>
      </c>
      <c r="I339" s="28">
        <f>C338*5%</f>
        <v>762.47799999999995</v>
      </c>
      <c r="J339" s="28">
        <f>D338*5%</f>
        <v>196.84281035982931</v>
      </c>
      <c r="K339" s="28">
        <f>E338*5%</f>
        <v>110.03949999999969</v>
      </c>
      <c r="L339" s="28">
        <f>F338*5%</f>
        <v>954.82014391773123</v>
      </c>
    </row>
    <row r="340" spans="1:12" ht="19.5" hidden="1" customHeight="1" x14ac:dyDescent="0.75">
      <c r="A340" s="43" t="s">
        <v>110</v>
      </c>
      <c r="B340" s="44" t="s">
        <v>100</v>
      </c>
      <c r="C340" s="93">
        <v>40627.469999999994</v>
      </c>
      <c r="D340" s="46">
        <f>'[7]EMPLEO Y SALARIO'!C21</f>
        <v>17728.441031560847</v>
      </c>
      <c r="E340" s="46">
        <f>'[7]EMPLEO Y SALARIO'!D21</f>
        <v>11124.989999999994</v>
      </c>
      <c r="F340" s="46">
        <f>[7]SC!L5+2300</f>
        <v>48350.821868354622</v>
      </c>
      <c r="G340" s="47">
        <f t="shared" si="40"/>
        <v>1.1901017185750091</v>
      </c>
      <c r="H340" s="48">
        <f t="shared" si="41"/>
        <v>0.62752218202349896</v>
      </c>
      <c r="I340" s="28">
        <f>C338-I339</f>
        <v>14487.081999999999</v>
      </c>
      <c r="J340" s="28">
        <f>D338-J339</f>
        <v>3740.0133968367568</v>
      </c>
      <c r="K340" s="28">
        <f>E338-K339</f>
        <v>2090.7504999999937</v>
      </c>
      <c r="L340" s="28">
        <f>F338-L339</f>
        <v>18141.582734436892</v>
      </c>
    </row>
    <row r="341" spans="1:12" ht="19.5" hidden="1" customHeight="1" x14ac:dyDescent="0.75">
      <c r="A341" s="43" t="s">
        <v>112</v>
      </c>
      <c r="B341" s="44" t="s">
        <v>113</v>
      </c>
      <c r="C341" s="64">
        <f>C340*1000/12/C344</f>
        <v>15389.19318181818</v>
      </c>
      <c r="D341" s="64">
        <f>'[7]EMPLEO Y SALARIO'!I41</f>
        <v>12060.163967048195</v>
      </c>
      <c r="E341" s="64">
        <f>'[7]EMPLEO Y SALARIO'!J41</f>
        <v>8428.0227272727225</v>
      </c>
      <c r="F341" s="64">
        <f>F340/F344*1000/12</f>
        <v>16445.85777835191</v>
      </c>
      <c r="G341" s="47">
        <f t="shared" si="40"/>
        <v>1.068662767700008</v>
      </c>
      <c r="H341" s="48">
        <f t="shared" si="41"/>
        <v>0.69883152088980571</v>
      </c>
      <c r="I341" s="28">
        <f>I340*35%</f>
        <v>5070.4786999999988</v>
      </c>
      <c r="J341" s="28">
        <f>J340*35%</f>
        <v>1309.0046888928648</v>
      </c>
      <c r="K341" s="28">
        <f>K340*35%</f>
        <v>731.76267499999778</v>
      </c>
      <c r="L341" s="28">
        <f>L340*35%</f>
        <v>6349.5539570529118</v>
      </c>
    </row>
    <row r="342" spans="1:12" ht="19.5" hidden="1" customHeight="1" x14ac:dyDescent="0.75">
      <c r="A342" s="43" t="s">
        <v>116</v>
      </c>
      <c r="B342" s="44" t="s">
        <v>100</v>
      </c>
      <c r="C342" s="93">
        <v>10929.76</v>
      </c>
      <c r="D342" s="46">
        <f>'[7]EMPLEO Y SALARIO'!I21</f>
        <v>7260.6040000000003</v>
      </c>
      <c r="E342" s="46">
        <f>'[7]EMPLEO Y SALARIO'!J21</f>
        <v>3829.86</v>
      </c>
      <c r="F342" s="46">
        <f>'[7]SC B'!L30</f>
        <v>12921.209999999997</v>
      </c>
      <c r="G342" s="47">
        <f t="shared" si="40"/>
        <v>1.1822043667930491</v>
      </c>
      <c r="H342" s="48">
        <f t="shared" si="41"/>
        <v>0.52748504118941064</v>
      </c>
      <c r="I342" s="28">
        <f>I340-I341</f>
        <v>9416.6032999999989</v>
      </c>
      <c r="J342" s="28">
        <f>J340-J341</f>
        <v>2431.0087079438917</v>
      </c>
      <c r="K342" s="28">
        <f>K340-K341</f>
        <v>1358.9878249999961</v>
      </c>
      <c r="L342" s="28">
        <f>L340-L341</f>
        <v>11792.028777383981</v>
      </c>
    </row>
    <row r="343" spans="1:12" ht="19.5" hidden="1" customHeight="1" x14ac:dyDescent="0.75">
      <c r="A343" s="43" t="s">
        <v>118</v>
      </c>
      <c r="B343" s="44" t="s">
        <v>100</v>
      </c>
      <c r="C343" s="93">
        <v>9551.19</v>
      </c>
      <c r="D343" s="46">
        <f>D342*88.5%</f>
        <v>6425.63454</v>
      </c>
      <c r="E343" s="46">
        <f>E342*88.5%</f>
        <v>3389.4261000000001</v>
      </c>
      <c r="F343" s="46">
        <f>F342*88.5%</f>
        <v>11435.270849999997</v>
      </c>
      <c r="G343" s="47">
        <f t="shared" si="40"/>
        <v>1.1972613726666517</v>
      </c>
      <c r="H343" s="48"/>
      <c r="I343" s="28">
        <f>I342*60%</f>
        <v>5649.9619799999991</v>
      </c>
      <c r="J343" s="28">
        <f>J342*60%</f>
        <v>1458.6052247663349</v>
      </c>
      <c r="K343" s="28">
        <f>K342*60%</f>
        <v>815.39269499999762</v>
      </c>
      <c r="L343" s="28">
        <f>L342*60%</f>
        <v>7075.217266430388</v>
      </c>
    </row>
    <row r="344" spans="1:12" ht="19.5" hidden="1" customHeight="1" x14ac:dyDescent="0.75">
      <c r="A344" s="43" t="s">
        <v>120</v>
      </c>
      <c r="B344" s="44" t="s">
        <v>121</v>
      </c>
      <c r="C344" s="94">
        <v>220</v>
      </c>
      <c r="D344" s="72">
        <f>[7]SC!J56</f>
        <v>245</v>
      </c>
      <c r="E344" s="72">
        <f>[7]SC!K56</f>
        <v>220</v>
      </c>
      <c r="F344" s="72">
        <v>245</v>
      </c>
      <c r="G344" s="47">
        <f t="shared" si="40"/>
        <v>1.1136363636363635</v>
      </c>
      <c r="H344" s="48">
        <f t="shared" si="41"/>
        <v>0.89795918367346939</v>
      </c>
      <c r="I344" s="49"/>
      <c r="J344" s="50"/>
    </row>
    <row r="345" spans="1:12" ht="19.5" hidden="1" customHeight="1" x14ac:dyDescent="0.75">
      <c r="A345" s="43" t="s">
        <v>123</v>
      </c>
      <c r="B345" s="44" t="s">
        <v>124</v>
      </c>
      <c r="C345" s="93">
        <f>C342/C344/12*1000</f>
        <v>4140.060606060606</v>
      </c>
      <c r="D345" s="64">
        <f>'[7]EMPLEO Y SALARIO'!F41</f>
        <v>4939.1863945578234</v>
      </c>
      <c r="E345" s="64">
        <f>'[7]EMPLEO Y SALARIO'!G41</f>
        <v>2901.4090909090905</v>
      </c>
      <c r="F345" s="64">
        <f>F342/F344/12*1000</f>
        <v>4394.9693877551017</v>
      </c>
      <c r="G345" s="47">
        <f t="shared" si="40"/>
        <v>1.0615712681406975</v>
      </c>
      <c r="H345" s="48">
        <f t="shared" si="41"/>
        <v>0.58742652314275268</v>
      </c>
      <c r="I345" s="49"/>
      <c r="J345" s="50"/>
    </row>
    <row r="346" spans="1:12" ht="19.5" hidden="1" customHeight="1" x14ac:dyDescent="0.75">
      <c r="A346" s="43" t="s">
        <v>127</v>
      </c>
      <c r="B346" s="44" t="s">
        <v>124</v>
      </c>
      <c r="C346" s="93">
        <f>C336*1000/C344/12</f>
        <v>42154.083333333336</v>
      </c>
      <c r="D346" s="77">
        <f>D336*1000/D344/2</f>
        <v>96689.331435329485</v>
      </c>
      <c r="E346" s="77">
        <f>E336*1000/E344/2</f>
        <v>79809.249999999985</v>
      </c>
      <c r="F346" s="77">
        <f>F336*1000/F344/12</f>
        <v>39353.758163265309</v>
      </c>
      <c r="G346" s="47">
        <f t="shared" si="40"/>
        <v>0.93356930222098622</v>
      </c>
      <c r="H346" s="48">
        <f t="shared" si="41"/>
        <v>0.82541940062312136</v>
      </c>
      <c r="I346" s="49"/>
      <c r="J346" s="50"/>
    </row>
    <row r="347" spans="1:12" ht="19.5" hidden="1" customHeight="1" x14ac:dyDescent="0.75">
      <c r="A347" s="79" t="s">
        <v>148</v>
      </c>
      <c r="B347" s="80" t="s">
        <v>129</v>
      </c>
      <c r="C347" s="95"/>
      <c r="D347" s="81"/>
      <c r="E347" s="82"/>
      <c r="F347" s="81"/>
      <c r="G347" s="96">
        <f>G345/G341</f>
        <v>0.99336413715004501</v>
      </c>
      <c r="H347" s="96">
        <f>H345/H341</f>
        <v>0.84058389695243896</v>
      </c>
      <c r="I347" s="97"/>
      <c r="J347" s="98"/>
    </row>
    <row r="348" spans="1:12" ht="19.5" hidden="1" customHeight="1" x14ac:dyDescent="0.75">
      <c r="A348" s="79" t="s">
        <v>149</v>
      </c>
      <c r="B348" s="80" t="s">
        <v>129</v>
      </c>
      <c r="C348" s="95"/>
      <c r="D348" s="81"/>
      <c r="E348" s="82"/>
      <c r="F348" s="81"/>
      <c r="G348" s="96">
        <f>G342/G339</f>
        <v>0.94405718912157432</v>
      </c>
      <c r="H348" s="96">
        <f>H342/H339</f>
        <v>0.94358514833758966</v>
      </c>
      <c r="I348" s="97"/>
      <c r="J348" s="98"/>
    </row>
    <row r="349" spans="1:12" ht="19.5" hidden="1" customHeight="1" x14ac:dyDescent="0.75">
      <c r="A349" s="79" t="s">
        <v>133</v>
      </c>
      <c r="B349" s="80" t="s">
        <v>129</v>
      </c>
      <c r="C349" s="99">
        <f>C342/C339</f>
        <v>1.9344838139955063</v>
      </c>
      <c r="D349" s="86">
        <f>D342/D339</f>
        <v>4.97777183073174</v>
      </c>
      <c r="E349" s="86">
        <f>E342/E339</f>
        <v>4.6969515712916845</v>
      </c>
      <c r="F349" s="86">
        <f>F342/F339</f>
        <v>1.8262633518417801</v>
      </c>
      <c r="G349" s="87"/>
      <c r="H349" s="87">
        <f>F349/D349</f>
        <v>0.36688370096974021</v>
      </c>
      <c r="I349" s="109"/>
      <c r="J349" s="110"/>
    </row>
    <row r="350" spans="1:12" ht="19.5" hidden="1" customHeight="1" x14ac:dyDescent="0.75">
      <c r="A350" s="79" t="s">
        <v>135</v>
      </c>
      <c r="B350" s="80" t="s">
        <v>129</v>
      </c>
      <c r="C350" s="99">
        <f>C342/C340</f>
        <v>0.26902388950136452</v>
      </c>
      <c r="D350" s="86">
        <f>D342/D340</f>
        <v>0.40954554250282899</v>
      </c>
      <c r="E350" s="86">
        <f>E342/E340</f>
        <v>0.34425738809652884</v>
      </c>
      <c r="F350" s="86">
        <f>F342/F340</f>
        <v>0.2672386838672719</v>
      </c>
      <c r="G350" s="87"/>
      <c r="H350" s="87">
        <f>F350/D350</f>
        <v>0.65252494810250783</v>
      </c>
      <c r="I350" s="109"/>
      <c r="J350" s="110"/>
    </row>
    <row r="351" spans="1:12" ht="19.5" hidden="1" customHeight="1" x14ac:dyDescent="0.75">
      <c r="A351" s="79" t="s">
        <v>138</v>
      </c>
      <c r="B351" s="80" t="s">
        <v>100</v>
      </c>
      <c r="C351" s="88"/>
      <c r="D351" s="89"/>
      <c r="E351" s="89"/>
      <c r="F351" s="89"/>
      <c r="G351" s="104"/>
      <c r="H351" s="104">
        <f>-(F349-D349)*F339</f>
        <v>22297.607205144013</v>
      </c>
      <c r="I351" s="111"/>
      <c r="J351" s="110"/>
    </row>
    <row r="352" spans="1:12" ht="19.5" hidden="1" customHeight="1" x14ac:dyDescent="0.75">
      <c r="A352" s="79" t="s">
        <v>140</v>
      </c>
      <c r="B352" s="80" t="s">
        <v>100</v>
      </c>
      <c r="C352" s="88"/>
      <c r="D352" s="89"/>
      <c r="E352" s="89"/>
      <c r="F352" s="89"/>
      <c r="G352" s="104"/>
      <c r="H352" s="104">
        <f>-(F350-D350)*F340</f>
        <v>6880.6535725329431</v>
      </c>
      <c r="I352" s="111"/>
      <c r="J352" s="110"/>
    </row>
    <row r="353" spans="1:12" hidden="1" x14ac:dyDescent="0.6"/>
    <row r="354" spans="1:12" hidden="1" x14ac:dyDescent="0.6">
      <c r="A354" s="27" t="s">
        <v>167</v>
      </c>
    </row>
    <row r="355" spans="1:12" ht="12.75" hidden="1" customHeight="1" x14ac:dyDescent="0.6">
      <c r="A355" s="383" t="s">
        <v>81</v>
      </c>
      <c r="B355" s="384" t="s">
        <v>82</v>
      </c>
      <c r="C355" s="386" t="s">
        <v>83</v>
      </c>
      <c r="D355" s="388" t="s">
        <v>84</v>
      </c>
      <c r="E355" s="389"/>
      <c r="F355" s="383" t="s">
        <v>85</v>
      </c>
      <c r="G355" s="390" t="s">
        <v>86</v>
      </c>
      <c r="H355" s="391"/>
      <c r="I355" s="29"/>
      <c r="J355" s="30"/>
    </row>
    <row r="356" spans="1:12" ht="31.5" hidden="1" x14ac:dyDescent="0.6">
      <c r="A356" s="383"/>
      <c r="B356" s="385"/>
      <c r="C356" s="387"/>
      <c r="D356" s="32" t="s">
        <v>90</v>
      </c>
      <c r="E356" s="32" t="s">
        <v>91</v>
      </c>
      <c r="F356" s="383"/>
      <c r="G356" s="33" t="s">
        <v>92</v>
      </c>
      <c r="H356" s="34" t="s">
        <v>93</v>
      </c>
      <c r="I356" s="35"/>
      <c r="J356" s="36"/>
    </row>
    <row r="357" spans="1:12" hidden="1" x14ac:dyDescent="0.6">
      <c r="A357" s="38">
        <v>1</v>
      </c>
      <c r="B357" s="38">
        <v>2</v>
      </c>
      <c r="C357" s="39"/>
      <c r="D357" s="38">
        <v>8</v>
      </c>
      <c r="E357" s="38">
        <v>9</v>
      </c>
      <c r="F357" s="38">
        <v>5</v>
      </c>
      <c r="G357" s="40">
        <v>10</v>
      </c>
      <c r="H357" s="38">
        <v>11</v>
      </c>
      <c r="I357" s="41"/>
      <c r="J357" s="42"/>
    </row>
    <row r="358" spans="1:12" ht="19.5" hidden="1" customHeight="1" x14ac:dyDescent="0.75">
      <c r="A358" s="43" t="s">
        <v>99</v>
      </c>
      <c r="B358" s="44" t="s">
        <v>100</v>
      </c>
      <c r="C358" s="93">
        <v>42349.12999999999</v>
      </c>
      <c r="D358" s="46">
        <f>[7]GTM!J9</f>
        <v>24254.715466666621</v>
      </c>
      <c r="E358" s="46">
        <f>[7]GTM!K9</f>
        <v>21297.95</v>
      </c>
      <c r="F358" s="46">
        <f>[7]GTM!L9</f>
        <v>42074.5</v>
      </c>
      <c r="G358" s="47">
        <f>F358/C358</f>
        <v>0.99351509700435425</v>
      </c>
      <c r="H358" s="48">
        <f>E358/D358</f>
        <v>0.87809523180223992</v>
      </c>
      <c r="I358" s="49"/>
      <c r="J358" s="50"/>
    </row>
    <row r="359" spans="1:12" ht="19.5" hidden="1" customHeight="1" x14ac:dyDescent="0.75">
      <c r="A359" s="43" t="s">
        <v>105</v>
      </c>
      <c r="B359" s="44" t="s">
        <v>100</v>
      </c>
      <c r="C359" s="93">
        <v>40088.539999999994</v>
      </c>
      <c r="D359" s="46">
        <f>[7]GTM!J10</f>
        <v>24254.715466666621</v>
      </c>
      <c r="E359" s="46">
        <f>[7]GTM!K10</f>
        <v>20446.810000000001</v>
      </c>
      <c r="F359" s="46">
        <f>[7]GTM!L10</f>
        <v>42074.5</v>
      </c>
      <c r="G359" s="47">
        <f t="shared" ref="G359:G368" si="42">F359/C359</f>
        <v>1.0495393446605938</v>
      </c>
      <c r="H359" s="48">
        <f t="shared" ref="H359:H368" si="43">E359/D359</f>
        <v>0.84300349876708125</v>
      </c>
      <c r="I359" s="49"/>
      <c r="J359" s="50"/>
    </row>
    <row r="360" spans="1:12" ht="19.5" hidden="1" customHeight="1" x14ac:dyDescent="0.75">
      <c r="A360" s="43" t="s">
        <v>107</v>
      </c>
      <c r="B360" s="44" t="s">
        <v>100</v>
      </c>
      <c r="C360" s="93">
        <v>921.42999999999302</v>
      </c>
      <c r="D360" s="46">
        <f>[7]GTM!J35</f>
        <v>1118.0948834318006</v>
      </c>
      <c r="E360" s="46">
        <f>[7]GTM!K35</f>
        <v>400.09000000000015</v>
      </c>
      <c r="F360" s="46">
        <f>[7]GTM!L35</f>
        <v>1352.4000000000015</v>
      </c>
      <c r="G360" s="47">
        <f t="shared" si="42"/>
        <v>1.4677186546997729</v>
      </c>
      <c r="H360" s="48">
        <f t="shared" si="43"/>
        <v>0.35783188522604853</v>
      </c>
      <c r="I360" s="49"/>
      <c r="J360" s="50"/>
    </row>
    <row r="361" spans="1:12" ht="19.5" hidden="1" customHeight="1" x14ac:dyDescent="0.75">
      <c r="A361" s="63" t="s">
        <v>108</v>
      </c>
      <c r="B361" s="44" t="s">
        <v>100</v>
      </c>
      <c r="C361" s="65">
        <f>I365</f>
        <v>341.38981499999738</v>
      </c>
      <c r="D361" s="65">
        <f>J365</f>
        <v>414.25415431148218</v>
      </c>
      <c r="E361" s="65">
        <f>K365</f>
        <v>148.23334500000004</v>
      </c>
      <c r="F361" s="65">
        <f>L365</f>
        <v>501.06420000000048</v>
      </c>
      <c r="G361" s="47">
        <f t="shared" si="42"/>
        <v>1.4677186546997729</v>
      </c>
      <c r="H361" s="48">
        <f t="shared" si="43"/>
        <v>0.35783188522604842</v>
      </c>
      <c r="I361" s="28">
        <f>C360*5%</f>
        <v>46.071499999999652</v>
      </c>
      <c r="J361" s="28">
        <f>D360*5%</f>
        <v>55.904744171590032</v>
      </c>
      <c r="K361" s="28">
        <f>E360*5%</f>
        <v>20.004500000000007</v>
      </c>
      <c r="L361" s="28">
        <f>F360*5%</f>
        <v>67.620000000000076</v>
      </c>
    </row>
    <row r="362" spans="1:12" ht="19.5" hidden="1" customHeight="1" x14ac:dyDescent="0.75">
      <c r="A362" s="43" t="s">
        <v>110</v>
      </c>
      <c r="B362" s="44" t="s">
        <v>100</v>
      </c>
      <c r="C362" s="93">
        <v>13514.899999999989</v>
      </c>
      <c r="D362" s="46">
        <f>[7]GTM!J5</f>
        <v>9172.4959937651292</v>
      </c>
      <c r="E362" s="46">
        <f>[7]GTM!K5</f>
        <v>6401.7400000000007</v>
      </c>
      <c r="F362" s="46">
        <f>[7]GTM!L5</f>
        <v>16755.073900800002</v>
      </c>
      <c r="G362" s="47">
        <f t="shared" si="42"/>
        <v>1.2397482704866492</v>
      </c>
      <c r="H362" s="48">
        <f t="shared" si="43"/>
        <v>0.69792780551242439</v>
      </c>
      <c r="I362" s="28">
        <f>C360-I361</f>
        <v>875.35849999999334</v>
      </c>
      <c r="J362" s="28">
        <f>D360-J361</f>
        <v>1062.1901392602106</v>
      </c>
      <c r="K362" s="28">
        <f>E360-K361</f>
        <v>380.08550000000014</v>
      </c>
      <c r="L362" s="28">
        <f>F360-L361</f>
        <v>1284.7800000000013</v>
      </c>
    </row>
    <row r="363" spans="1:12" ht="19.5" hidden="1" customHeight="1" x14ac:dyDescent="0.75">
      <c r="A363" s="43" t="s">
        <v>112</v>
      </c>
      <c r="B363" s="44" t="s">
        <v>113</v>
      </c>
      <c r="C363" s="93">
        <f>C362/C366*1000/12</f>
        <v>6022.6827094474102</v>
      </c>
      <c r="D363" s="64">
        <f>D362/D366*1000</f>
        <v>40766.648861178357</v>
      </c>
      <c r="E363" s="64">
        <f>E362/E366*1000</f>
        <v>34233.90374331551</v>
      </c>
      <c r="F363" s="64">
        <f>F362/F366*1000</f>
        <v>74466.995114666672</v>
      </c>
      <c r="G363" s="47">
        <f t="shared" si="42"/>
        <v>12.364422750986849</v>
      </c>
      <c r="H363" s="48">
        <f t="shared" si="43"/>
        <v>0.83975270716735539</v>
      </c>
      <c r="I363" s="28">
        <f>I362*35%</f>
        <v>306.37547499999766</v>
      </c>
      <c r="J363" s="28">
        <f>J362*35%</f>
        <v>371.76654874107368</v>
      </c>
      <c r="K363" s="28">
        <f>K362*35%</f>
        <v>133.02992500000005</v>
      </c>
      <c r="L363" s="28">
        <f>L362*35%</f>
        <v>449.67300000000046</v>
      </c>
    </row>
    <row r="364" spans="1:12" ht="19.5" hidden="1" customHeight="1" x14ac:dyDescent="0.75">
      <c r="A364" s="43" t="s">
        <v>116</v>
      </c>
      <c r="B364" s="44" t="s">
        <v>100</v>
      </c>
      <c r="C364" s="93">
        <v>7320.63</v>
      </c>
      <c r="D364" s="46">
        <f>'[7]GTM B'!J30</f>
        <v>4394.6911</v>
      </c>
      <c r="E364" s="46">
        <f>'[7]GTM B'!K30</f>
        <v>3325.57</v>
      </c>
      <c r="F364" s="46">
        <f>'[7]GTM B'!L30</f>
        <v>8755.1083200000012</v>
      </c>
      <c r="G364" s="47">
        <f t="shared" si="42"/>
        <v>1.1959501190471313</v>
      </c>
      <c r="H364" s="48">
        <f t="shared" si="43"/>
        <v>0.75672440322369872</v>
      </c>
      <c r="I364" s="28">
        <f>I362-I363</f>
        <v>568.98302499999568</v>
      </c>
      <c r="J364" s="28">
        <f>J362-J363</f>
        <v>690.42359051913695</v>
      </c>
      <c r="K364" s="28">
        <f>K362-K363</f>
        <v>247.05557500000009</v>
      </c>
      <c r="L364" s="28">
        <f>L362-L363</f>
        <v>835.10700000000088</v>
      </c>
    </row>
    <row r="365" spans="1:12" ht="19.5" hidden="1" customHeight="1" x14ac:dyDescent="0.75">
      <c r="A365" s="43" t="s">
        <v>118</v>
      </c>
      <c r="B365" s="44" t="s">
        <v>100</v>
      </c>
      <c r="C365" s="93">
        <v>6474.24</v>
      </c>
      <c r="D365" s="46">
        <f>D364*88.5%</f>
        <v>3889.3016235</v>
      </c>
      <c r="E365" s="46">
        <f>E364*88.5%</f>
        <v>2943.1294500000004</v>
      </c>
      <c r="F365" s="46">
        <f>F364*88.5%</f>
        <v>7748.2708632000013</v>
      </c>
      <c r="G365" s="47">
        <f t="shared" si="42"/>
        <v>1.1967846207740216</v>
      </c>
      <c r="H365" s="48">
        <f t="shared" si="43"/>
        <v>0.75672440322369883</v>
      </c>
      <c r="I365" s="28">
        <f>I364*60%</f>
        <v>341.38981499999738</v>
      </c>
      <c r="J365" s="28">
        <f>J364*60%</f>
        <v>414.25415431148218</v>
      </c>
      <c r="K365" s="28">
        <f>K364*60%</f>
        <v>148.23334500000004</v>
      </c>
      <c r="L365" s="28">
        <f>L364*60%</f>
        <v>501.06420000000048</v>
      </c>
    </row>
    <row r="366" spans="1:12" ht="19.5" hidden="1" customHeight="1" x14ac:dyDescent="0.75">
      <c r="A366" s="43" t="s">
        <v>120</v>
      </c>
      <c r="B366" s="44" t="s">
        <v>121</v>
      </c>
      <c r="C366" s="94">
        <v>187</v>
      </c>
      <c r="D366" s="72">
        <f>[7]GTM!J56</f>
        <v>225</v>
      </c>
      <c r="E366" s="72">
        <f>[7]GTM!K56</f>
        <v>187</v>
      </c>
      <c r="F366" s="72">
        <v>225</v>
      </c>
      <c r="G366" s="47">
        <f t="shared" si="42"/>
        <v>1.2032085561497325</v>
      </c>
      <c r="H366" s="48">
        <f t="shared" si="43"/>
        <v>0.83111111111111113</v>
      </c>
      <c r="I366" s="49"/>
      <c r="J366" s="50"/>
    </row>
    <row r="367" spans="1:12" ht="19.5" hidden="1" customHeight="1" x14ac:dyDescent="0.75">
      <c r="A367" s="43" t="s">
        <v>123</v>
      </c>
      <c r="B367" s="44" t="s">
        <v>124</v>
      </c>
      <c r="C367" s="93">
        <f>C364/C366/12*1000</f>
        <v>3262.3128342245986</v>
      </c>
      <c r="D367" s="64">
        <f>D364/D366*1000</f>
        <v>19531.960444444445</v>
      </c>
      <c r="E367" s="64">
        <f>E364/E366*1000</f>
        <v>17783.796791443852</v>
      </c>
      <c r="F367" s="64">
        <f>F364/F366/12*1000</f>
        <v>3242.6327111111118</v>
      </c>
      <c r="G367" s="47">
        <f t="shared" si="42"/>
        <v>0.99396743227472706</v>
      </c>
      <c r="H367" s="48">
        <f t="shared" si="43"/>
        <v>0.91049727660605462</v>
      </c>
      <c r="I367" s="49"/>
      <c r="J367" s="50"/>
    </row>
    <row r="368" spans="1:12" ht="19.5" hidden="1" customHeight="1" x14ac:dyDescent="0.75">
      <c r="A368" s="43" t="s">
        <v>127</v>
      </c>
      <c r="B368" s="44" t="s">
        <v>124</v>
      </c>
      <c r="C368" s="93">
        <f>C358*1000/C366/12</f>
        <v>18872.161319073082</v>
      </c>
      <c r="D368" s="77">
        <f>D358*1000/D366</f>
        <v>107798.73540740721</v>
      </c>
      <c r="E368" s="77">
        <f>E358*1000/E366</f>
        <v>113892.78074866311</v>
      </c>
      <c r="F368" s="77">
        <f>F358*1000/F366/12</f>
        <v>15583.148148148148</v>
      </c>
      <c r="G368" s="47">
        <f t="shared" si="42"/>
        <v>0.82572143617695204</v>
      </c>
      <c r="H368" s="48">
        <f t="shared" si="43"/>
        <v>1.0565316960187379</v>
      </c>
      <c r="I368" s="49"/>
      <c r="J368" s="50"/>
    </row>
    <row r="369" spans="1:10" ht="19.5" hidden="1" customHeight="1" x14ac:dyDescent="0.75">
      <c r="A369" s="79" t="s">
        <v>128</v>
      </c>
      <c r="B369" s="80" t="s">
        <v>129</v>
      </c>
      <c r="C369" s="95"/>
      <c r="D369" s="81"/>
      <c r="E369" s="82"/>
      <c r="F369" s="81"/>
      <c r="G369" s="83">
        <f>G367/G363</f>
        <v>8.0389311518436632E-2</v>
      </c>
      <c r="H369" s="83">
        <f>H367/H363</f>
        <v>1.0842445267932914</v>
      </c>
      <c r="I369" s="84"/>
      <c r="J369" s="85"/>
    </row>
    <row r="370" spans="1:10" ht="19.5" hidden="1" customHeight="1" x14ac:dyDescent="0.75">
      <c r="A370" s="79" t="s">
        <v>132</v>
      </c>
      <c r="B370" s="80" t="s">
        <v>129</v>
      </c>
      <c r="C370" s="95"/>
      <c r="D370" s="81"/>
      <c r="E370" s="82"/>
      <c r="F370" s="81"/>
      <c r="G370" s="83">
        <f>G364/G361</f>
        <v>0.81483608266310903</v>
      </c>
      <c r="H370" s="83">
        <f>H364/H361</f>
        <v>2.1147483901432182</v>
      </c>
      <c r="I370" s="84"/>
      <c r="J370" s="85"/>
    </row>
    <row r="371" spans="1:10" ht="19.5" hidden="1" customHeight="1" x14ac:dyDescent="0.75">
      <c r="A371" s="79" t="s">
        <v>133</v>
      </c>
      <c r="B371" s="80" t="s">
        <v>129</v>
      </c>
      <c r="C371" s="86">
        <f>C364/C361</f>
        <v>21.44360985110249</v>
      </c>
      <c r="D371" s="86">
        <f>D364/D361</f>
        <v>10.608683230477839</v>
      </c>
      <c r="E371" s="86">
        <f>E364/E361</f>
        <v>22.434695783192367</v>
      </c>
      <c r="F371" s="86">
        <f>F364/F361</f>
        <v>17.473027049228406</v>
      </c>
      <c r="G371" s="87"/>
      <c r="H371" s="84"/>
      <c r="I371" s="84"/>
      <c r="J371" s="85"/>
    </row>
    <row r="372" spans="1:10" ht="19.5" hidden="1" customHeight="1" x14ac:dyDescent="0.75">
      <c r="A372" s="79" t="s">
        <v>135</v>
      </c>
      <c r="B372" s="80" t="s">
        <v>129</v>
      </c>
      <c r="C372" s="86">
        <f>C364/C362</f>
        <v>0.54167104455082959</v>
      </c>
      <c r="D372" s="86">
        <f>D364/D362</f>
        <v>0.47911616456275669</v>
      </c>
      <c r="E372" s="86">
        <f>E364/E362</f>
        <v>0.51947907912536273</v>
      </c>
      <c r="F372" s="86">
        <f>F364/F362</f>
        <v>0.52253474809096323</v>
      </c>
      <c r="G372" s="87"/>
      <c r="H372" s="84"/>
      <c r="I372" s="84"/>
      <c r="J372" s="85"/>
    </row>
    <row r="373" spans="1:10" ht="19.5" hidden="1" customHeight="1" x14ac:dyDescent="0.75">
      <c r="A373" s="79" t="s">
        <v>138</v>
      </c>
      <c r="B373" s="80" t="s">
        <v>100</v>
      </c>
      <c r="C373" s="88"/>
      <c r="D373" s="89"/>
      <c r="E373" s="89"/>
      <c r="F373" s="89"/>
      <c r="G373" s="90"/>
      <c r="H373" s="91"/>
      <c r="I373" s="91"/>
      <c r="J373" s="85"/>
    </row>
    <row r="374" spans="1:10" ht="19.5" hidden="1" customHeight="1" x14ac:dyDescent="0.75">
      <c r="A374" s="79" t="s">
        <v>140</v>
      </c>
      <c r="B374" s="80" t="s">
        <v>100</v>
      </c>
      <c r="C374" s="88"/>
      <c r="D374" s="89"/>
      <c r="E374" s="89"/>
      <c r="F374" s="89"/>
      <c r="G374" s="90"/>
      <c r="H374" s="91"/>
      <c r="I374" s="91"/>
      <c r="J374" s="85"/>
    </row>
    <row r="375" spans="1:10" hidden="1" x14ac:dyDescent="0.6"/>
    <row r="376" spans="1:10" hidden="1" x14ac:dyDescent="0.6"/>
    <row r="377" spans="1:10" hidden="1" x14ac:dyDescent="0.6"/>
    <row r="378" spans="1:10" hidden="1" x14ac:dyDescent="0.6"/>
    <row r="379" spans="1:10" hidden="1" x14ac:dyDescent="0.6"/>
    <row r="380" spans="1:10" hidden="1" x14ac:dyDescent="0.6"/>
    <row r="381" spans="1:10" hidden="1" x14ac:dyDescent="0.6"/>
    <row r="382" spans="1:10" hidden="1" x14ac:dyDescent="0.6"/>
    <row r="383" spans="1:10" hidden="1" x14ac:dyDescent="0.6"/>
    <row r="384" spans="1:10" hidden="1" x14ac:dyDescent="0.6"/>
    <row r="385" hidden="1" x14ac:dyDescent="0.6"/>
    <row r="386" hidden="1" x14ac:dyDescent="0.6"/>
    <row r="387" hidden="1" x14ac:dyDescent="0.6"/>
    <row r="388" hidden="1" x14ac:dyDescent="0.6"/>
    <row r="389" hidden="1" x14ac:dyDescent="0.6"/>
    <row r="390" hidden="1" x14ac:dyDescent="0.6"/>
    <row r="391" hidden="1" x14ac:dyDescent="0.6"/>
    <row r="392" hidden="1" x14ac:dyDescent="0.6"/>
    <row r="393" hidden="1" x14ac:dyDescent="0.6"/>
    <row r="394" hidden="1" x14ac:dyDescent="0.6"/>
    <row r="395" hidden="1" x14ac:dyDescent="0.6"/>
    <row r="396" hidden="1" x14ac:dyDescent="0.6"/>
    <row r="397" hidden="1" x14ac:dyDescent="0.6"/>
    <row r="398" hidden="1" x14ac:dyDescent="0.6"/>
    <row r="399" hidden="1" x14ac:dyDescent="0.6"/>
    <row r="400" hidden="1" x14ac:dyDescent="0.6"/>
    <row r="401" hidden="1" x14ac:dyDescent="0.6"/>
    <row r="402" hidden="1" x14ac:dyDescent="0.6"/>
    <row r="403" hidden="1" x14ac:dyDescent="0.6"/>
    <row r="404" hidden="1" x14ac:dyDescent="0.6"/>
    <row r="405" hidden="1" x14ac:dyDescent="0.6"/>
    <row r="406" hidden="1" x14ac:dyDescent="0.6"/>
    <row r="407" hidden="1" x14ac:dyDescent="0.6"/>
    <row r="408" hidden="1" x14ac:dyDescent="0.6"/>
    <row r="409" hidden="1" x14ac:dyDescent="0.6"/>
    <row r="410" hidden="1" x14ac:dyDescent="0.6"/>
    <row r="411" hidden="1" x14ac:dyDescent="0.6"/>
    <row r="412" hidden="1" x14ac:dyDescent="0.6"/>
    <row r="413" hidden="1" x14ac:dyDescent="0.6"/>
    <row r="414" hidden="1" x14ac:dyDescent="0.6"/>
    <row r="415" hidden="1" x14ac:dyDescent="0.6"/>
    <row r="416" hidden="1" x14ac:dyDescent="0.6"/>
    <row r="417" hidden="1" x14ac:dyDescent="0.6"/>
    <row r="418" hidden="1" x14ac:dyDescent="0.6"/>
    <row r="419" hidden="1" x14ac:dyDescent="0.6"/>
    <row r="420" hidden="1" x14ac:dyDescent="0.6"/>
    <row r="421" hidden="1" x14ac:dyDescent="0.6"/>
    <row r="422" hidden="1" x14ac:dyDescent="0.6"/>
    <row r="423" hidden="1" x14ac:dyDescent="0.6"/>
    <row r="424" hidden="1" x14ac:dyDescent="0.6"/>
    <row r="425" hidden="1" x14ac:dyDescent="0.6"/>
    <row r="426" hidden="1" x14ac:dyDescent="0.6"/>
    <row r="427" hidden="1" x14ac:dyDescent="0.6"/>
    <row r="428" hidden="1" x14ac:dyDescent="0.6"/>
    <row r="429" hidden="1" x14ac:dyDescent="0.6"/>
    <row r="430" hidden="1" x14ac:dyDescent="0.6"/>
    <row r="431" hidden="1" x14ac:dyDescent="0.6"/>
    <row r="432" hidden="1" x14ac:dyDescent="0.6"/>
    <row r="433" hidden="1" x14ac:dyDescent="0.6"/>
    <row r="434" hidden="1" x14ac:dyDescent="0.6"/>
    <row r="435" hidden="1" x14ac:dyDescent="0.6"/>
    <row r="436" hidden="1" x14ac:dyDescent="0.6"/>
    <row r="437" hidden="1" x14ac:dyDescent="0.6"/>
    <row r="438" hidden="1" x14ac:dyDescent="0.6"/>
    <row r="439" hidden="1" x14ac:dyDescent="0.6"/>
  </sheetData>
  <mergeCells count="114">
    <mergeCell ref="A355:A356"/>
    <mergeCell ref="B355:B356"/>
    <mergeCell ref="C355:C356"/>
    <mergeCell ref="D355:E355"/>
    <mergeCell ref="F355:F356"/>
    <mergeCell ref="G355:H355"/>
    <mergeCell ref="A333:A334"/>
    <mergeCell ref="B333:B334"/>
    <mergeCell ref="C333:C334"/>
    <mergeCell ref="D333:E333"/>
    <mergeCell ref="F333:F334"/>
    <mergeCell ref="G333:H333"/>
    <mergeCell ref="A311:A312"/>
    <mergeCell ref="B311:B312"/>
    <mergeCell ref="C311:C312"/>
    <mergeCell ref="D311:E311"/>
    <mergeCell ref="F311:F312"/>
    <mergeCell ref="G311:H311"/>
    <mergeCell ref="A289:A290"/>
    <mergeCell ref="B289:B290"/>
    <mergeCell ref="C289:C290"/>
    <mergeCell ref="D289:E289"/>
    <mergeCell ref="F289:F290"/>
    <mergeCell ref="G289:H289"/>
    <mergeCell ref="A267:A268"/>
    <mergeCell ref="B267:B268"/>
    <mergeCell ref="C267:C268"/>
    <mergeCell ref="D267:E267"/>
    <mergeCell ref="F267:F268"/>
    <mergeCell ref="G267:H267"/>
    <mergeCell ref="A245:A246"/>
    <mergeCell ref="B245:B246"/>
    <mergeCell ref="C245:C246"/>
    <mergeCell ref="D245:E245"/>
    <mergeCell ref="F245:F246"/>
    <mergeCell ref="G245:H245"/>
    <mergeCell ref="A223:A224"/>
    <mergeCell ref="B223:B224"/>
    <mergeCell ref="C223:C224"/>
    <mergeCell ref="D223:E223"/>
    <mergeCell ref="F223:F224"/>
    <mergeCell ref="G223:H223"/>
    <mergeCell ref="A201:A202"/>
    <mergeCell ref="B201:B202"/>
    <mergeCell ref="C201:C202"/>
    <mergeCell ref="D201:E201"/>
    <mergeCell ref="F201:F202"/>
    <mergeCell ref="G201:H201"/>
    <mergeCell ref="A179:A180"/>
    <mergeCell ref="B179:B180"/>
    <mergeCell ref="C179:C180"/>
    <mergeCell ref="D179:E179"/>
    <mergeCell ref="F179:F180"/>
    <mergeCell ref="G179:H179"/>
    <mergeCell ref="A157:A158"/>
    <mergeCell ref="B157:B158"/>
    <mergeCell ref="C157:C158"/>
    <mergeCell ref="D157:E157"/>
    <mergeCell ref="F157:F158"/>
    <mergeCell ref="G157:H157"/>
    <mergeCell ref="A135:A136"/>
    <mergeCell ref="B135:B136"/>
    <mergeCell ref="C135:C136"/>
    <mergeCell ref="D135:E135"/>
    <mergeCell ref="F135:F136"/>
    <mergeCell ref="G135:H135"/>
    <mergeCell ref="A113:A114"/>
    <mergeCell ref="B113:B114"/>
    <mergeCell ref="C113:C114"/>
    <mergeCell ref="D113:E113"/>
    <mergeCell ref="F113:F114"/>
    <mergeCell ref="G113:H113"/>
    <mergeCell ref="A91:A92"/>
    <mergeCell ref="B91:B92"/>
    <mergeCell ref="C91:C92"/>
    <mergeCell ref="D91:E91"/>
    <mergeCell ref="F91:F92"/>
    <mergeCell ref="G91:H91"/>
    <mergeCell ref="A69:A70"/>
    <mergeCell ref="B69:B70"/>
    <mergeCell ref="C69:C70"/>
    <mergeCell ref="D69:E69"/>
    <mergeCell ref="F69:F70"/>
    <mergeCell ref="G69:H69"/>
    <mergeCell ref="M5:M6"/>
    <mergeCell ref="N5:N6"/>
    <mergeCell ref="O5:O6"/>
    <mergeCell ref="P5:Q5"/>
    <mergeCell ref="R5:R6"/>
    <mergeCell ref="S5:T5"/>
    <mergeCell ref="A47:A48"/>
    <mergeCell ref="B47:B48"/>
    <mergeCell ref="C47:C48"/>
    <mergeCell ref="D47:E47"/>
    <mergeCell ref="F47:F48"/>
    <mergeCell ref="G47:H47"/>
    <mergeCell ref="M22:R22"/>
    <mergeCell ref="M23:R23"/>
    <mergeCell ref="A25:A26"/>
    <mergeCell ref="B25:B26"/>
    <mergeCell ref="C25:C26"/>
    <mergeCell ref="D25:E25"/>
    <mergeCell ref="F25:F26"/>
    <mergeCell ref="G25:H25"/>
    <mergeCell ref="A3:A4"/>
    <mergeCell ref="B3:B4"/>
    <mergeCell ref="C3:C4"/>
    <mergeCell ref="D3:E3"/>
    <mergeCell ref="F3:F4"/>
    <mergeCell ref="G3:H3"/>
    <mergeCell ref="M3:M4"/>
    <mergeCell ref="N3:R3"/>
    <mergeCell ref="T3:T4"/>
    <mergeCell ref="N4:R4"/>
  </mergeCells>
  <conditionalFormatting sqref="G21:J22">
    <cfRule type="cellIs" dxfId="16" priority="17" stopIfTrue="1" operator="greaterThan">
      <formula>1</formula>
    </cfRule>
  </conditionalFormatting>
  <conditionalFormatting sqref="G43:J44">
    <cfRule type="cellIs" dxfId="15" priority="16" stopIfTrue="1" operator="greaterThan">
      <formula>1</formula>
    </cfRule>
  </conditionalFormatting>
  <conditionalFormatting sqref="G65:J66">
    <cfRule type="cellIs" dxfId="14" priority="15" stopIfTrue="1" operator="greaterThan">
      <formula>1</formula>
    </cfRule>
  </conditionalFormatting>
  <conditionalFormatting sqref="G87:J88">
    <cfRule type="cellIs" dxfId="13" priority="14" stopIfTrue="1" operator="greaterThan">
      <formula>1</formula>
    </cfRule>
  </conditionalFormatting>
  <conditionalFormatting sqref="G109:J110">
    <cfRule type="cellIs" dxfId="12" priority="13" stopIfTrue="1" operator="greaterThan">
      <formula>1</formula>
    </cfRule>
  </conditionalFormatting>
  <conditionalFormatting sqref="G131:J132">
    <cfRule type="cellIs" dxfId="11" priority="12" stopIfTrue="1" operator="greaterThan">
      <formula>1</formula>
    </cfRule>
  </conditionalFormatting>
  <conditionalFormatting sqref="G153:J154">
    <cfRule type="cellIs" dxfId="10" priority="11" stopIfTrue="1" operator="greaterThan">
      <formula>1</formula>
    </cfRule>
  </conditionalFormatting>
  <conditionalFormatting sqref="G175:J176">
    <cfRule type="cellIs" dxfId="9" priority="10" stopIfTrue="1" operator="greaterThan">
      <formula>1</formula>
    </cfRule>
  </conditionalFormatting>
  <conditionalFormatting sqref="G197:J198">
    <cfRule type="cellIs" dxfId="8" priority="9" stopIfTrue="1" operator="greaterThan">
      <formula>1</formula>
    </cfRule>
  </conditionalFormatting>
  <conditionalFormatting sqref="G219:J220">
    <cfRule type="cellIs" dxfId="7" priority="8" stopIfTrue="1" operator="greaterThan">
      <formula>1</formula>
    </cfRule>
  </conditionalFormatting>
  <conditionalFormatting sqref="G241:J242">
    <cfRule type="cellIs" dxfId="6" priority="7" stopIfTrue="1" operator="greaterThan">
      <formula>1</formula>
    </cfRule>
  </conditionalFormatting>
  <conditionalFormatting sqref="G263:J264">
    <cfRule type="cellIs" dxfId="5" priority="6" stopIfTrue="1" operator="greaterThan">
      <formula>1</formula>
    </cfRule>
  </conditionalFormatting>
  <conditionalFormatting sqref="G285:J286">
    <cfRule type="cellIs" dxfId="4" priority="5" stopIfTrue="1" operator="greaterThan">
      <formula>1</formula>
    </cfRule>
  </conditionalFormatting>
  <conditionalFormatting sqref="G307:J308">
    <cfRule type="cellIs" dxfId="3" priority="4" stopIfTrue="1" operator="greaterThan">
      <formula>1</formula>
    </cfRule>
  </conditionalFormatting>
  <conditionalFormatting sqref="G329:J330">
    <cfRule type="cellIs" dxfId="2" priority="3" stopIfTrue="1" operator="greaterThan">
      <formula>1</formula>
    </cfRule>
  </conditionalFormatting>
  <conditionalFormatting sqref="G351:J352">
    <cfRule type="cellIs" dxfId="1" priority="2" stopIfTrue="1" operator="greaterThan">
      <formula>1</formula>
    </cfRule>
  </conditionalFormatting>
  <conditionalFormatting sqref="G373:J374">
    <cfRule type="cellIs" dxfId="0" priority="1" stopIfTrue="1" operator="greaterThan">
      <formula>1</formula>
    </cfRule>
  </conditionalFormatting>
  <pageMargins left="0.7" right="0.7" top="0.75" bottom="0.75" header="0.3" footer="0.3"/>
  <pageSetup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Hoja1</vt:lpstr>
      <vt:lpstr>EMPLEO Y SALARIO</vt:lpstr>
      <vt:lpstr>P 14-B</vt:lpstr>
      <vt:lpstr>P 14-B (2)</vt:lpstr>
      <vt:lpstr>MODELO PLAN </vt:lpstr>
      <vt:lpstr>Modelo Indicadores Decreto 87</vt:lpstr>
      <vt:lpstr>'EMPLEO Y SALARIO'!Área_de_impresión</vt:lpstr>
      <vt:lpstr>'MODELO PLAN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Ramon Rodriguez Socarras</dc:creator>
  <cp:lastModifiedBy>salon</cp:lastModifiedBy>
  <cp:lastPrinted>2025-08-25T13:22:46Z</cp:lastPrinted>
  <dcterms:created xsi:type="dcterms:W3CDTF">2025-07-21T21:04:16Z</dcterms:created>
  <dcterms:modified xsi:type="dcterms:W3CDTF">2026-07-30T15:05:25Z</dcterms:modified>
</cp:coreProperties>
</file>